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activity_weekdays" sheetId="1" r:id="rId4"/>
    <sheet state="visible" name="Pivot Table-distance_weekdays" sheetId="2" r:id="rId5"/>
    <sheet state="visible" name="Week_days_distnace_graph" sheetId="3" r:id="rId6"/>
    <sheet state="visible" name="Daily_activity_logged days" sheetId="4" r:id="rId7"/>
    <sheet state="visible" name="Pivot Table 2" sheetId="5" r:id="rId8"/>
    <sheet state="visible" name="Sheet4" sheetId="6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<sst xmlns="http://schemas.openxmlformats.org/spreadsheetml/2006/main" count="140" uniqueCount="59">
  <si>
    <t>number_of_entries</t>
  </si>
  <si>
    <t>week_day</t>
  </si>
  <si>
    <t>total_steps</t>
  </si>
  <si>
    <t>total_distance</t>
  </si>
  <si>
    <t>tracker_distance</t>
  </si>
  <si>
    <t>tracker_difference</t>
  </si>
  <si>
    <t>accuracy</t>
  </si>
  <si>
    <t>total_distance_summed</t>
  </si>
  <si>
    <t>prcent_VeryActivedistance</t>
  </si>
  <si>
    <t>prcent_ModeratelyActiveDistance</t>
  </si>
  <si>
    <t>prcent_LightlyActiveDistance</t>
  </si>
  <si>
    <t>Sunday</t>
  </si>
  <si>
    <t>accurate measure</t>
  </si>
  <si>
    <t>Monday</t>
  </si>
  <si>
    <t>not accurate measure</t>
  </si>
  <si>
    <t>Tuesday</t>
  </si>
  <si>
    <t>Wednesday</t>
  </si>
  <si>
    <t>Thursday</t>
  </si>
  <si>
    <t>Friday</t>
  </si>
  <si>
    <t>Saturday</t>
  </si>
  <si>
    <t>SUM of number_of_entries</t>
  </si>
  <si>
    <t>SUM of total_steps</t>
  </si>
  <si>
    <t>Steps per day</t>
  </si>
  <si>
    <t>SUM of total_distance</t>
  </si>
  <si>
    <t>Distance per day</t>
  </si>
  <si>
    <t>SUM of tracker_distance</t>
  </si>
  <si>
    <t>SUM of tracker_difference</t>
  </si>
  <si>
    <t>Tracker distance per day</t>
  </si>
  <si>
    <t>SUM of total_distance_summed</t>
  </si>
  <si>
    <t>Sumemd total distance per day</t>
  </si>
  <si>
    <t>SUM of prcent_VeryActivedistance</t>
  </si>
  <si>
    <t>SUM of prcent_ModeratelyActiveDistance</t>
  </si>
  <si>
    <t>SUM of prcent_LightlyActiveDistance</t>
  </si>
  <si>
    <t>total_time</t>
  </si>
  <si>
    <t>Distance per log</t>
  </si>
  <si>
    <t>Tracker distance per log</t>
  </si>
  <si>
    <t>Tracker difference per log</t>
  </si>
  <si>
    <t>Sumemd total distance per log</t>
  </si>
  <si>
    <t>Total time per entry min</t>
  </si>
  <si>
    <t>Total time per entry h</t>
  </si>
  <si>
    <t>Id</t>
  </si>
  <si>
    <t>days_logged</t>
  </si>
  <si>
    <t>SUM_total_steps</t>
  </si>
  <si>
    <t>SUM_total_distance</t>
  </si>
  <si>
    <t>SUM_tracker_distance</t>
  </si>
  <si>
    <t>sum_tracker_difference</t>
  </si>
  <si>
    <t>COUNT of Id</t>
  </si>
  <si>
    <t>SUM of SUM_total_steps</t>
  </si>
  <si>
    <t>SUM of SUM_total_distance</t>
  </si>
  <si>
    <t>SUM of SUM_tracker_distance</t>
  </si>
  <si>
    <t>SUM of sum_tracker_difference</t>
  </si>
  <si>
    <t>MEDIAN of prcent_VeryActivedistance</t>
  </si>
  <si>
    <t>MEDIAN of prcent_ModeratelyActiveDistance</t>
  </si>
  <si>
    <t>MEDIAN of prcent_LightlyActiveDistance</t>
  </si>
  <si>
    <t>Total steps per person per log</t>
  </si>
  <si>
    <t>Total distance per person per log</t>
  </si>
  <si>
    <t>Tota tracker distance per person per log</t>
  </si>
  <si>
    <t>Tracker difference per person per log</t>
  </si>
  <si>
    <t>Totall distance summed per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</si>
</sst>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2" xfId="0" applyAlignment="1" applyFont="1" applyNumberForma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434343"/>
                </a:solidFill>
                <a:latin typeface="serif"/>
              </a:defRPr>
            </a:pPr>
            <a:r>
              <a:rPr b="0" sz="2600">
                <a:solidFill>
                  <a:srgbClr val="434343"/>
                </a:solidFill>
                <a:latin typeface="serif"/>
              </a:rPr>
              <a:t>Numbers of logs through the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Week_days_distnace_graph!$C$1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3"/>
          </c:dPt>
          <c:cat>
            <c:strRef>
              <c:f>Week_days_distnace_graph!$B$2:$B$8</c:f>
            </c:strRef>
          </c:cat>
          <c:val>
            <c:numRef>
              <c:f>Week_days_distnace_graph!$C$2:$C$8</c:f>
              <c:numCache/>
            </c:numRef>
          </c:val>
        </c:ser>
        <c:axId val="562623836"/>
        <c:axId val="846832218"/>
      </c:barChart>
      <c:catAx>
        <c:axId val="562623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846832218"/>
      </c:catAx>
      <c:valAx>
        <c:axId val="846832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 of logs</a:t>
                </a:r>
              </a:p>
            </c:rich>
          </c:tx>
          <c:layout>
            <c:manualLayout>
              <c:xMode val="edge"/>
              <c:yMode val="edge"/>
              <c:x val="0.03258333333333333"/>
              <c:y val="0.153414195867026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562623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757575"/>
                </a:solidFill>
                <a:latin typeface="serif"/>
              </a:defRPr>
            </a:pPr>
            <a:r>
              <a:rPr b="0" sz="2600">
                <a:solidFill>
                  <a:srgbClr val="757575"/>
                </a:solidFill>
                <a:latin typeface="serif"/>
              </a:rPr>
              <a:t>Differences between distance registered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Distance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Week_days_distnace_graph!$B$2:$B$8</c:f>
            </c:strRef>
          </c:cat>
          <c:val>
            <c:numRef>
              <c:f>Week_days_distnace_graph!$G$2:$G$8</c:f>
              <c:numCache/>
            </c:numRef>
          </c:val>
        </c:ser>
        <c:ser>
          <c:idx val="1"/>
          <c:order val="1"/>
          <c:tx>
            <c:v>Tracker Distance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Week_days_distnace_graph!$B$2:$B$8</c:f>
            </c:strRef>
          </c:cat>
          <c:val>
            <c:numRef>
              <c:f>Week_days_distnace_graph!$I$2:$I$8</c:f>
              <c:numCache/>
            </c:numRef>
          </c:val>
        </c:ser>
        <c:ser>
          <c:idx val="2"/>
          <c:order val="2"/>
          <c:tx>
            <c:v>Total distance summed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Week_days_distnace_graph!$B$2:$B$8</c:f>
            </c:strRef>
          </c:cat>
          <c:val>
            <c:numRef>
              <c:f>Week_days_distnace_graph!$M$2:$M$8</c:f>
              <c:numCache/>
            </c:numRef>
          </c:val>
        </c:ser>
        <c:axId val="1936157065"/>
        <c:axId val="1409878752"/>
      </c:barChart>
      <c:catAx>
        <c:axId val="1936157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409878752"/>
      </c:catAx>
      <c:valAx>
        <c:axId val="1409878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Distance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936157065"/>
      </c:valAx>
    </c:plotArea>
    <c:legend>
      <c:legendPos val="b"/>
      <c:legendEntry>
        <c:idx val="0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757575"/>
                </a:solidFill>
                <a:latin typeface="serif"/>
              </a:defRPr>
            </a:pPr>
            <a:r>
              <a:rPr b="0" sz="2600">
                <a:solidFill>
                  <a:srgbClr val="757575"/>
                </a:solidFill>
                <a:latin typeface="serif"/>
              </a:rPr>
              <a:t>Tracker difference mistake through week</a:t>
            </a:r>
          </a:p>
        </c:rich>
      </c:tx>
      <c:layout>
        <c:manualLayout>
          <c:xMode val="edge"/>
          <c:yMode val="edge"/>
          <c:x val="0.03559538152610441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Week_days_distnace_graph!$K$1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Week_days_distnace_graph!$B$2:$B$8</c:f>
            </c:strRef>
          </c:cat>
          <c:val>
            <c:numRef>
              <c:f>Week_days_distnace_graph!$K$2:$K$8</c:f>
              <c:numCache/>
            </c:numRef>
          </c:val>
          <c:smooth val="0"/>
        </c:ser>
        <c:axId val="132735360"/>
        <c:axId val="2125578278"/>
      </c:lineChart>
      <c:catAx>
        <c:axId val="13273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2125578278"/>
      </c:catAx>
      <c:valAx>
        <c:axId val="2125578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Difference between distances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32735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34343"/>
                </a:solidFill>
                <a:latin typeface="serif"/>
              </a:defRPr>
            </a:pPr>
            <a:r>
              <a:rPr b="0">
                <a:solidFill>
                  <a:srgbClr val="434343"/>
                </a:solidFill>
                <a:latin typeface="serif"/>
              </a:rPr>
              <a:t>Distance for each intensity through week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Very Active Distance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Week_days_distnace_graph!$B$2:$B$8</c:f>
            </c:strRef>
          </c:cat>
          <c:val>
            <c:numRef>
              <c:f>Week_days_distnace_graph!$N$2:$N$8</c:f>
              <c:numCache/>
            </c:numRef>
          </c:val>
        </c:ser>
        <c:ser>
          <c:idx val="1"/>
          <c:order val="1"/>
          <c:tx>
            <c:v>Lightly Active Distance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Week_days_distnace_graph!$B$2:$B$8</c:f>
            </c:strRef>
          </c:cat>
          <c:val>
            <c:numRef>
              <c:f>Week_days_distnace_graph!$P$2:$P$8</c:f>
              <c:numCache/>
            </c:numRef>
          </c:val>
        </c:ser>
        <c:ser>
          <c:idx val="2"/>
          <c:order val="2"/>
          <c:tx>
            <c:v>Moderately Active Distance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Week_days_distnace_graph!$B$2:$B$8</c:f>
            </c:strRef>
          </c:cat>
          <c:val>
            <c:numRef>
              <c:f>Week_days_distnace_graph!$O$2:$O$8</c:f>
              <c:numCache/>
            </c:numRef>
          </c:val>
        </c:ser>
        <c:overlap val="100"/>
        <c:axId val="145890114"/>
        <c:axId val="1978976524"/>
      </c:barChart>
      <c:catAx>
        <c:axId val="145890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978976524"/>
      </c:catAx>
      <c:valAx>
        <c:axId val="1978976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Precent of distance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90114"/>
      </c:valAx>
    </c:plotArea>
    <c:legend>
      <c:legendPos val="b"/>
      <c:legendEntry>
        <c:idx val="0"/>
        <c:txPr>
          <a:bodyPr/>
          <a:lstStyle/>
          <a:p>
            <a:pPr lvl="0">
              <a:defRPr sz="1600"/>
            </a:pPr>
          </a:p>
        </c:txPr>
      </c:legendEntry>
      <c:legendEntry>
        <c:idx val="1"/>
        <c:txPr>
          <a:bodyPr/>
          <a:lstStyle/>
          <a:p>
            <a:pPr lvl="0">
              <a:defRPr sz="1600"/>
            </a:pPr>
          </a:p>
        </c:txPr>
      </c:legendEntry>
      <c:legendEntry>
        <c:idx val="2"/>
        <c:txPr>
          <a:bodyPr/>
          <a:lstStyle/>
          <a:p>
            <a:pPr lvl="0">
              <a:defRPr sz="16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434343"/>
                </a:solidFill>
                <a:latin typeface="serif"/>
              </a:defRPr>
            </a:pPr>
            <a:r>
              <a:rPr b="0" sz="2600">
                <a:solidFill>
                  <a:srgbClr val="434343"/>
                </a:solidFill>
                <a:latin typeface="serif"/>
              </a:rPr>
              <a:t>Difference between measured by number of loggs</a:t>
            </a:r>
          </a:p>
        </c:rich>
      </c:tx>
      <c:layout>
        <c:manualLayout>
          <c:xMode val="edge"/>
          <c:yMode val="edge"/>
          <c:x val="0.03091666666666667"/>
          <c:y val="0.044609164420485174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 distance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Sheet4!$A$2:$A$1000</c:f>
            </c:strRef>
          </c:cat>
          <c:val>
            <c:numRef>
              <c:f>Sheet4!$L$2:$L$1000</c:f>
              <c:numCache/>
            </c:numRef>
          </c:val>
        </c:ser>
        <c:ser>
          <c:idx val="1"/>
          <c:order val="1"/>
          <c:tx>
            <c:v>Tota tracker distance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Sheet4!$A$2:$A$1000</c:f>
            </c:strRef>
          </c:cat>
          <c:val>
            <c:numRef>
              <c:f>Sheet4!$M$2:$M$1000</c:f>
              <c:numCache/>
            </c:numRef>
          </c:val>
        </c:ser>
        <c:ser>
          <c:idx val="2"/>
          <c:order val="2"/>
          <c:tx>
            <c:v>Total distance summed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Sheet4!$A$2:$A$1000</c:f>
            </c:strRef>
          </c:cat>
          <c:val>
            <c:numRef>
              <c:f>Sheet4!$O$2:$O$1000</c:f>
              <c:numCache/>
            </c:numRef>
          </c:val>
        </c:ser>
        <c:axId val="392849658"/>
        <c:axId val="527521197"/>
      </c:barChart>
      <c:catAx>
        <c:axId val="392849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 of logged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527521197"/>
      </c:catAx>
      <c:valAx>
        <c:axId val="527521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392849658"/>
      </c:valAx>
    </c:plotArea>
    <c:legend>
      <c:legendPos val="b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9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352425</xdr:colOff>
      <xdr:row>9</xdr:row>
      <xdr:rowOff>28575</xdr:rowOff>
    </xdr:from>
    <xdr:ext cx="6448425" cy="3981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314325</xdr:colOff>
      <xdr:row>9</xdr:row>
      <xdr:rowOff>123825</xdr:rowOff>
    </xdr:from>
    <xdr:ext cx="63246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161925</xdr:colOff>
      <xdr:row>28</xdr:row>
      <xdr:rowOff>114300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14</xdr:row>
      <xdr:rowOff>161925</xdr:rowOff>
    </xdr:from>
    <xdr:ext cx="7086600" cy="43815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0" sheet="DAily_activity_weekdays"/>
  </cacheSource>
  <cacheFields>
    <cacheField name="number_of_entries" numFmtId="0">
      <sharedItems containsString="0" containsBlank="1" containsNumber="1" containsInteger="1">
        <n v="116.0"/>
        <n v="108.0"/>
        <n v="139.0"/>
        <n v="136.0"/>
        <n v="134.0"/>
        <n v="112.0"/>
        <n v="113.0"/>
        <m/>
      </sharedItems>
    </cacheField>
    <cacheField name="week_day" numFmtId="0">
      <sharedItems containsBlank="1">
        <s v="Sunday"/>
        <s v="Monday"/>
        <s v="Tuesday"/>
        <s v="Wednesday"/>
        <s v="Thursday"/>
        <s v="Friday"/>
        <s v="Saturday"/>
        <m/>
      </sharedItems>
    </cacheField>
    <cacheField name="total_steps" numFmtId="0">
      <sharedItems containsString="0" containsBlank="1" containsNumber="1" containsInteger="1">
        <n v="771960.0"/>
        <n v="813491.0"/>
        <n v="1153509.0"/>
        <n v="1050707.0"/>
        <n v="983252.0"/>
        <n v="828364.0"/>
        <n v="916731.0"/>
        <m/>
      </sharedItems>
    </cacheField>
    <cacheField name="total_distance" numFmtId="0">
      <sharedItems containsString="0" containsBlank="1" containsNumber="1">
        <n v="558.289997963234"/>
        <n v="576.599999703467"/>
        <n v="829.059994647279"/>
        <n v="764.59999919869"/>
        <n v="702.230003083124"/>
        <n v="590.449999216944"/>
        <n v="660.61000005342"/>
        <m/>
      </sharedItems>
    </cacheField>
    <cacheField name="tracker_distance" numFmtId="0">
      <sharedItems containsString="0" containsBlank="1" containsNumber="1">
        <n v="558.289997963234"/>
        <n v="574.959999360144"/>
        <n v="826.109994838014"/>
        <n v="761.489999542012"/>
        <n v="700.410002911463"/>
        <n v="589.569999102503"/>
        <n v="660.61000005342"/>
        <m/>
      </sharedItems>
    </cacheField>
    <cacheField name="tracker_difference" numFmtId="0">
      <sharedItems containsString="0" containsBlank="1" containsNumber="1">
        <n v="0.0"/>
        <n v="1.64000034332275"/>
        <n v="2.94999980926502"/>
        <n v="3.10999965667724"/>
        <n v="1.82000017166137"/>
        <n v="0.880000114440918"/>
        <m/>
      </sharedItems>
    </cacheField>
    <cacheField name="accuracy" numFmtId="0">
      <sharedItems containsBlank="1">
        <s v="accurate measure"/>
        <s v="not accurate measure"/>
        <m/>
      </sharedItems>
    </cacheField>
    <cacheField name="total_distance_summed" numFmtId="0">
      <sharedItems containsString="0" containsBlank="1" containsNumber="1">
        <n v="555.000001804903"/>
        <n v="569.000000644475"/>
        <n v="805.880000090226"/>
        <n v="754.110000927001"/>
        <n v="683.05000090599"/>
        <n v="587.749997172504"/>
        <n v="655.08999681659"/>
        <m/>
      </sharedItems>
    </cacheField>
    <cacheField name="prcent_VeryActivedistance" numFmtId="0">
      <sharedItems containsString="0" containsBlank="1" containsNumber="1">
        <n v="0.277927927769142"/>
        <n v="0.279402461234626"/>
        <n v="0.299101603805818"/>
        <n v="0.317950961699438"/>
        <n v="0.270990411838821"/>
        <n v="0.26179498159433"/>
        <n v="0.270283470518766"/>
        <m/>
      </sharedItems>
    </cacheField>
    <cacheField name="prcent_ModeratelyActiveDistance" numFmtId="0">
      <sharedItems containsString="0" containsBlank="1" containsNumber="1">
        <n v="0.118972971554527"/>
        <n v="0.112952548280248"/>
        <n v="0.110351416960761"/>
        <n v="0.10189494881072"/>
        <n v="0.0990996264850004"/>
        <n v="0.102917907556658"/>
        <n v="0.122883878209889"/>
        <m/>
      </sharedItems>
    </cacheField>
    <cacheField name="prcent_LightlyActiveDistance" numFmtId="0">
      <sharedItems containsString="0" containsBlank="1" containsNumber="1">
        <n v="0.60309910067633"/>
        <n v="0.607644990485125"/>
        <n v="0.590546979233419"/>
        <n v="0.58015408948984"/>
        <n v="0.629909961676177"/>
        <n v="0.63528711084901"/>
        <n v="0.606832651271343"/>
        <m/>
      </sharedItems>
    </cacheField>
    <cacheField name="Steps per day" formula="SUM(total_steps)/(number_of_entries)" databaseField="0"/>
    <cacheField name="Distance per day" formula="SUM(total_distance)/(number_of_entries)" databaseField="0"/>
    <cacheField name="Tracker distance per day" formula="SUM(tracker_distance)/(number_of_entries)" databaseField="0"/>
    <cacheField name="Sumemd total distance per day" formula="SUM(total_distance_summed)/(number_of_entries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0" sheet="Daily_activity_logged days"/>
  </cacheSource>
  <cacheFields>
    <cacheField name="Id" numFmtId="0">
      <sharedItems containsString="0" containsBlank="1" containsNumber="1" containsInteger="1">
        <n v="1.644430081E9"/>
        <n v="2.022484408E9"/>
        <n v="2.347167796E9"/>
        <n v="3.977333714E9"/>
        <n v="4.319703577E9"/>
        <n v="4.388161847E9"/>
        <n v="4.702921684E9"/>
        <n v="5.577150313E9"/>
        <n v="6.775888955E9"/>
        <n v="6.962181067E9"/>
        <n v="7.007744171E9"/>
        <n v="7.086361926E9"/>
        <n v="8.253242879E9"/>
        <n v="8.583815059E9"/>
        <n v="8.792009665E9"/>
        <n v="1.624580081E9"/>
        <n v="1.844505072E9"/>
        <n v="1.927972279E9"/>
        <n v="2.026352035E9"/>
        <n v="2.320127002E9"/>
        <n v="2.873212765E9"/>
        <n v="3.372868164E9"/>
        <n v="4.02033265E9"/>
        <n v="4.057192912E9"/>
        <n v="4.445114986E9"/>
        <n v="4.558609924E9"/>
        <n v="5.553957443E9"/>
        <n v="6.11766616E9"/>
        <n v="6.290855005E9"/>
        <n v="8.053475328E9"/>
        <n v="8.3785632E9"/>
        <n v="8.877689391E9"/>
        <n v="1.503960366E9"/>
        <m/>
      </sharedItems>
    </cacheField>
    <cacheField name="days_logged" numFmtId="0">
      <sharedItems containsString="0" containsBlank="1" containsNumber="1" containsInteger="1">
        <n v="26.0"/>
        <n v="30.0"/>
        <n v="17.0"/>
        <n v="29.0"/>
        <n v="25.0"/>
        <n v="18.0"/>
        <n v="28.0"/>
        <n v="13.0"/>
        <n v="3.0"/>
        <n v="27.0"/>
        <m/>
      </sharedItems>
    </cacheField>
    <cacheField name="SUM_total_steps" numFmtId="0">
      <sharedItems containsString="0" containsBlank="1" containsNumber="1" containsInteger="1">
        <n v="164187.0"/>
        <n v="352490.0"/>
        <n v="171354.0"/>
        <n v="329537.0"/>
        <n v="225334.0"/>
        <n v="335232.0"/>
        <n v="265734.0"/>
        <n v="249133.0"/>
        <n v="65512.0"/>
        <n v="278565.0"/>
        <n v="279593.0"/>
        <n v="290525.0"/>
        <n v="116695.0"/>
        <n v="223154.0"/>
        <n v="53758.0"/>
        <n v="73303.0"/>
        <n v="79982.0"/>
        <n v="28400.0"/>
        <n v="172573.0"/>
        <n v="146223.0"/>
        <n v="128613.0"/>
        <n v="28778.0"/>
        <n v="44145.0"/>
        <n v="15352.0"/>
        <n v="148693.0"/>
        <n v="238239.0"/>
        <n v="266990.0"/>
        <n v="197308.0"/>
        <n v="55880.0"/>
        <n v="457662.0"/>
        <n v="270249.0"/>
        <n v="389202.0"/>
        <n v="375619.0"/>
        <m/>
      </sharedItems>
    </cacheField>
    <cacheField name="SUM_total_distance" numFmtId="0">
      <sharedItems containsString="0" containsBlank="1" containsNumber="1">
        <n v="119.360000610351"/>
        <n v="250.609998226165"/>
        <n v="114.39999964647"/>
        <n v="225.509998321533"/>
        <n v="151.659999458119"/>
        <n v="260.190002679824"/>
        <n v="215.609999775886"/>
        <n v="186.399999141693"/>
        <n v="47.1499994192272"/>
        <n v="185.180000305175"/>
        <n v="197.419999837875"/>
        <n v="198.029999742284"/>
        <n v="84.4100009202957"/>
        <n v="174.079998493194"/>
        <n v="34.4099997878074"/>
        <n v="47.9399998188018"/>
        <n v="52.8900001421571"/>
        <n v="19.6699998155236"/>
        <n v="107.100000172853"/>
        <n v="98.8199990391731"/>
        <n v="86.7899990081787"/>
        <n v="19.6600000858307"/>
        <n v="31.6499997396022"/>
        <n v="11.4500000476837"/>
        <n v="100.61999964714"/>
        <n v="157.500000476837"/>
        <n v="174.830000936984"/>
        <n v="149.580001592636"/>
        <n v="42.2599999904632"/>
        <n v="355.72999715805"/>
        <n v="214.320002317428"/>
        <n v="324.509998559951"/>
        <n v="242.099998950958"/>
        <m/>
      </sharedItems>
    </cacheField>
    <cacheField name="SUM_tracker_distance" numFmtId="0">
      <sharedItems containsString="0" containsBlank="1" containsNumber="1">
        <n v="119.360000610351"/>
        <n v="250.609998226165"/>
        <n v="114.39999964647"/>
        <n v="225.509998321533"/>
        <n v="151.659999458119"/>
        <n v="260.190002679824"/>
        <n v="215.609999775886"/>
        <n v="186.399999141693"/>
        <n v="47.1499994192272"/>
        <n v="185.140000343322"/>
        <n v="187.05999970436"/>
        <n v="198.029999742284"/>
        <n v="84.4100009202957"/>
        <n v="174.079998493194"/>
        <n v="34.4099997878074"/>
        <n v="47.9399998188018"/>
        <n v="52.8900001421571"/>
        <n v="19.6699998155236"/>
        <n v="107.100000172853"/>
        <n v="98.8199990391731"/>
        <n v="86.7899990081787"/>
        <n v="19.6600000858307"/>
        <n v="31.6499997396022"/>
        <n v="11.4500000476837"/>
        <n v="100.61999964714"/>
        <n v="157.500000476837"/>
        <n v="174.830000936984"/>
        <n v="149.580001592636"/>
        <n v="42.2599999904632"/>
        <n v="355.72999715805"/>
        <n v="214.320002317428"/>
        <n v="324.509998559951"/>
        <n v="242.099998950958"/>
        <m/>
      </sharedItems>
    </cacheField>
    <cacheField name="sum_tracker_difference" numFmtId="0">
      <sharedItems containsString="0" containsBlank="1" containsNumber="1">
        <n v="0.0"/>
        <n v="0.0399999618530273"/>
        <n v="10.3600001335144"/>
        <m/>
      </sharedItems>
    </cacheField>
    <cacheField name="accuracy" numFmtId="0">
      <sharedItems containsBlank="1">
        <s v="accurate measure"/>
        <s v="not accurate measure"/>
        <m/>
      </sharedItems>
    </cacheField>
    <cacheField name="total_distance_summed" numFmtId="0">
      <sharedItems containsString="0" containsBlank="1" containsNumber="1">
        <n v="119.290000457316"/>
        <n v="250.609999284148"/>
        <n v="114.410000393167"/>
        <n v="225.009999178349"/>
        <n v="141.019998801872"/>
        <n v="248.540000136941"/>
        <n v="215.380001544952"/>
        <n v="185.989999487996"/>
        <n v="46.9300000537186"/>
        <n v="185.160000786185"/>
        <n v="197.429999023675"/>
        <n v="197.569999562576"/>
        <n v="84.3699995279311"/>
        <n v="137.519999787211"/>
        <n v="34.4099998772144"/>
        <n v="47.8900000602006"/>
        <n v="52.8499994426965"/>
        <n v="19.6599998157471"/>
        <n v="107.060000240802"/>
        <n v="98.7299995236098"/>
        <n v="86.780000578612"/>
        <n v="19.6299999058246"/>
        <n v="30.5299996733665"/>
        <n v="11.2199999839067"/>
        <n v="100.550000129267"/>
        <n v="157.460000388324"/>
        <n v="174.769999146461"/>
        <n v="141.550000369548"/>
        <n v="42.2299999594688"/>
        <n v="355.650000493973"/>
        <n v="214.269999817013"/>
        <n v="323.440000200644"/>
        <n v="241.970000728964"/>
        <m/>
      </sharedItems>
    </cacheField>
    <cacheField name="prcent_VeryActivedistance" numFmtId="0">
      <sharedItems containsString="0" containsBlank="1" containsNumber="1">
        <n v="0.117612540113614"/>
        <n v="0.299549098644243"/>
        <n v="0.166681231796813"/>
        <n v="0.21532376183685"/>
        <n v="0.0611260819600428"/>
        <n v="0.214452401403064"/>
        <n v="0.060079858412087"/>
        <n v="0.502231302358957"/>
        <n v="0.39292563207284"/>
        <n v="0.232771657051491"/>
        <n v="0.298840095191923"/>
        <n v="0.436402289209432"/>
        <n v="0.494725607773207"/>
        <n v="0.179901107754437"/>
        <n v="0.0209241503212136"/>
        <n v="0.0651493004979397"/>
        <n v="0.00491958373993448"/>
        <n v="0.151068158916119"/>
        <n v="0.00177470574620268"/>
        <n v="0.0335257773698884"/>
        <n v="0.152915418948612"/>
        <n v="0.126337240497775"/>
        <n v="0.0586308557388572"/>
        <n v="0.0187165769825935"/>
        <n v="0.161312780900213"/>
        <n v="0.108154451712458"/>
        <n v="0.259712766705796"/>
        <n v="0.0253620626238179"/>
        <n v="0.0269950269189919"/>
        <n v="0.742190357444675"/>
        <n v="0.362206564276934"/>
        <n v="0.525816226009971"/>
        <n v="0.366202422714359"/>
        <m/>
      </sharedItems>
    </cacheField>
    <cacheField name="prcent_ModeratelyActiveDistance" numFmtId="0">
      <sharedItems containsString="0" containsBlank="1" containsNumber="1">
        <n v="0.216028165883227"/>
        <n v="0.0890626876856918"/>
        <n v="0.169128570741474"/>
        <n v="0.366783697065513"/>
        <n v="0.110409871933298"/>
        <n v="0.11249698156926"/>
        <n v="0.187807594474534"/>
        <n v="0.106134739491309"/>
        <n v="0.212870232220363"/>
        <n v="0.14031108141206"/>
        <n v="0.0865116749144869"/>
        <n v="0.121324087663733"/>
        <n v="0.146971673994854"/>
        <n v="0.230075623827684"/>
        <n v="0.0491136304060654"/>
        <n v="0.074545834271474"/>
        <n v="0.0287606427086584"/>
        <n v="0.0493387599662883"/>
        <n v="0.00326919478098547"/>
        <n v="0.0306897598096836"/>
        <n v="0.0684489505010695"/>
        <n v="0.01426388194271"/>
        <n v="0.0766459220048831"/>
        <n v="0.0231729047091073"/>
        <n v="0.0232720037429495"/>
        <n v="0.134319827248217"/>
        <n v="0.118670253818378"/>
        <n v="0.0166019075782878"/>
        <n v="0.0187070808007551"/>
        <n v="0.036946435791405"/>
        <n v="0.0750921730200634"/>
        <n v="0.027300272035451"/>
        <n v="0.101748149263453"/>
        <m/>
      </sharedItems>
    </cacheField>
    <cacheField name="prcent_LightlyActiveDistance" numFmtId="0">
      <sharedItems containsString="0" containsBlank="1" containsNumber="1">
        <n v="0.666359294003158"/>
        <n v="0.611388213670065"/>
        <n v="0.664190197461711"/>
        <n v="0.417892541097635"/>
        <n v="0.828464046106658"/>
        <n v="0.673050617027674"/>
        <n v="0.752112547113378"/>
        <n v="0.391633958149733"/>
        <n v="0.394204135706796"/>
        <n v="0.626917261536447"/>
        <n v="0.614648229893588"/>
        <n v="0.442273623126834"/>
        <n v="0.358302718231938"/>
        <n v="0.590023268417877"/>
        <n v="0.92996221927272"/>
        <n v="0.860304865230586"/>
        <n v="0.966319773551407"/>
        <n v="0.799593081117592"/>
        <n v="0.994956099472811"/>
        <n v="0.935784462820427"/>
        <n v="0.778635630550318"/>
        <n v="0.859398877559514"/>
        <n v="0.864723222256259"/>
        <n v="0.958110518308299"/>
        <n v="0.815415215356837"/>
        <n v="0.757525721039324"/>
        <n v="0.621616979475825"/>
        <n v="0.958036029797894"/>
        <n v="0.954297892280253"/>
        <n v="0.220863206763919"/>
        <n v="0.562701262703002"/>
        <n v="0.446883501954577"/>
        <n v="0.532049428022187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-distance_weekdays" cacheId="0" dataCaption="" rowGrandTotals="0" compact="0" compactData="0">
  <location ref="A1:N9" firstHeaderRow="0" firstDataRow="2" firstDataCol="0"/>
  <pivotFields>
    <pivotField name="number_of_ent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eek_day" axis="axisRow" compact="0" outline="0" multipleItemSelectionAllowed="1" showAll="0" sortType="ascending">
      <items>
        <item x="7"/>
        <item x="5"/>
        <item x="1"/>
        <item x="6"/>
        <item x="0"/>
        <item x="4"/>
        <item x="2"/>
        <item x="3"/>
        <item t="default"/>
      </items>
    </pivotField>
    <pivotField name="total_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_dist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cker_dist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cker_difference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ccuracy" compact="0" outline="0" multipleItemSelectionAllowed="1" showAll="0">
      <items>
        <item x="0"/>
        <item x="1"/>
        <item x="2"/>
        <item t="default"/>
      </items>
    </pivotField>
    <pivotField name="total_distance_summ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cent_VeryActivedist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cent_ModeratelyActiveDist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cent_LightlyActiveDist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1"/>
  </rowFields>
  <colFields>
    <field x="-2"/>
  </colFields>
  <dataFields>
    <dataField name="SUM of number_of_entries" fld="0" baseField="0"/>
    <dataField name="SUM of total_steps" fld="2" baseField="0"/>
    <dataField name="SUM of Steps per day" fld="11" baseField="0"/>
    <dataField name="SUM of total_distance" fld="3" baseField="0"/>
    <dataField name="SUM of Distance per day" fld="12" baseField="0"/>
    <dataField name="SUM of tracker_distance" fld="4" baseField="0"/>
    <dataField name="SUM of tracker_difference" fld="5" baseField="0"/>
    <dataField name="SUM of Tracker distance per day" fld="13" baseField="0"/>
    <dataField name="SUM of total_distance_summed" fld="7" baseField="0"/>
    <dataField name="SUM of Sumemd total distance per day" fld="14" baseField="0"/>
    <dataField name="SUM of prcent_VeryActivedistance" fld="8" baseField="0"/>
    <dataField name="SUM of prcent_ModeratelyActiveDistance" fld="9" baseField="0"/>
    <dataField name="SUM of prcent_LightlyActiveDistance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15.5"/>
    <col customWidth="1" min="4" max="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116.0</v>
      </c>
      <c r="B2" s="2" t="s">
        <v>11</v>
      </c>
      <c r="C2" s="2">
        <v>771960.0</v>
      </c>
      <c r="D2" s="2">
        <v>558.289997963234</v>
      </c>
      <c r="E2" s="2">
        <v>558.289997963234</v>
      </c>
      <c r="F2" s="2">
        <v>0.0</v>
      </c>
      <c r="G2" s="2" t="s">
        <v>12</v>
      </c>
      <c r="H2" s="2">
        <v>555.000001804903</v>
      </c>
      <c r="I2" s="2">
        <v>0.277927927769142</v>
      </c>
      <c r="J2" s="2">
        <v>0.118972971554527</v>
      </c>
      <c r="K2" s="2">
        <v>0.60309910067633</v>
      </c>
    </row>
    <row r="3">
      <c r="A3" s="2">
        <v>108.0</v>
      </c>
      <c r="B3" s="2" t="s">
        <v>13</v>
      </c>
      <c r="C3" s="2">
        <v>813491.0</v>
      </c>
      <c r="D3" s="2">
        <v>576.599999703467</v>
      </c>
      <c r="E3" s="2">
        <v>574.959999360144</v>
      </c>
      <c r="F3" s="2">
        <v>1.64000034332275</v>
      </c>
      <c r="G3" s="2" t="s">
        <v>14</v>
      </c>
      <c r="H3" s="2">
        <v>569.000000644475</v>
      </c>
      <c r="I3" s="2">
        <v>0.279402461234626</v>
      </c>
      <c r="J3" s="2">
        <v>0.112952548280248</v>
      </c>
      <c r="K3" s="2">
        <v>0.607644990485125</v>
      </c>
    </row>
    <row r="4">
      <c r="A4" s="2">
        <v>139.0</v>
      </c>
      <c r="B4" s="2" t="s">
        <v>15</v>
      </c>
      <c r="C4" s="2">
        <v>1153509.0</v>
      </c>
      <c r="D4" s="2">
        <v>829.059994647279</v>
      </c>
      <c r="E4" s="2">
        <v>826.109994838014</v>
      </c>
      <c r="F4" s="2">
        <v>2.94999980926502</v>
      </c>
      <c r="G4" s="2" t="s">
        <v>14</v>
      </c>
      <c r="H4" s="2">
        <v>805.880000090226</v>
      </c>
      <c r="I4" s="2">
        <v>0.299101603805818</v>
      </c>
      <c r="J4" s="2">
        <v>0.110351416960761</v>
      </c>
      <c r="K4" s="2">
        <v>0.590546979233419</v>
      </c>
    </row>
    <row r="5">
      <c r="A5" s="2">
        <v>136.0</v>
      </c>
      <c r="B5" s="2" t="s">
        <v>16</v>
      </c>
      <c r="C5" s="2">
        <v>1050707.0</v>
      </c>
      <c r="D5" s="2">
        <v>764.59999919869</v>
      </c>
      <c r="E5" s="2">
        <v>761.489999542012</v>
      </c>
      <c r="F5" s="2">
        <v>3.10999965667724</v>
      </c>
      <c r="G5" s="2" t="s">
        <v>14</v>
      </c>
      <c r="H5" s="2">
        <v>754.110000927001</v>
      </c>
      <c r="I5" s="2">
        <v>0.317950961699438</v>
      </c>
      <c r="J5" s="2">
        <v>0.10189494881072</v>
      </c>
      <c r="K5" s="2">
        <v>0.58015408948984</v>
      </c>
    </row>
    <row r="6">
      <c r="A6" s="2">
        <v>134.0</v>
      </c>
      <c r="B6" s="2" t="s">
        <v>17</v>
      </c>
      <c r="C6" s="2">
        <v>983252.0</v>
      </c>
      <c r="D6" s="2">
        <v>702.230003083124</v>
      </c>
      <c r="E6" s="2">
        <v>700.410002911463</v>
      </c>
      <c r="F6" s="2">
        <v>1.82000017166137</v>
      </c>
      <c r="G6" s="2" t="s">
        <v>14</v>
      </c>
      <c r="H6" s="2">
        <v>683.05000090599</v>
      </c>
      <c r="I6" s="2">
        <v>0.270990411838821</v>
      </c>
      <c r="J6" s="2">
        <v>0.0990996264850004</v>
      </c>
      <c r="K6" s="2">
        <v>0.629909961676177</v>
      </c>
    </row>
    <row r="7">
      <c r="A7" s="2">
        <v>112.0</v>
      </c>
      <c r="B7" s="2" t="s">
        <v>18</v>
      </c>
      <c r="C7" s="2">
        <v>828364.0</v>
      </c>
      <c r="D7" s="2">
        <v>590.449999216944</v>
      </c>
      <c r="E7" s="2">
        <v>589.569999102503</v>
      </c>
      <c r="F7" s="2">
        <v>0.880000114440918</v>
      </c>
      <c r="G7" s="2" t="s">
        <v>14</v>
      </c>
      <c r="H7" s="2">
        <v>587.749997172504</v>
      </c>
      <c r="I7" s="2">
        <v>0.26179498159433</v>
      </c>
      <c r="J7" s="2">
        <v>0.102917907556658</v>
      </c>
      <c r="K7" s="2">
        <v>0.63528711084901</v>
      </c>
    </row>
    <row r="8">
      <c r="A8" s="2">
        <v>113.0</v>
      </c>
      <c r="B8" s="2" t="s">
        <v>19</v>
      </c>
      <c r="C8" s="2">
        <v>916731.0</v>
      </c>
      <c r="D8" s="2">
        <v>660.61000005342</v>
      </c>
      <c r="E8" s="2">
        <v>660.61000005342</v>
      </c>
      <c r="F8" s="2">
        <v>0.0</v>
      </c>
      <c r="G8" s="2" t="s">
        <v>12</v>
      </c>
      <c r="H8" s="2">
        <v>655.08999681659</v>
      </c>
      <c r="I8" s="2">
        <v>0.270283470518766</v>
      </c>
      <c r="J8" s="2">
        <v>0.122883878209889</v>
      </c>
      <c r="K8" s="2">
        <v>0.606832651271343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 t="s">
        <v>1</v>
      </c>
      <c r="C1" s="4" t="s">
        <v>20</v>
      </c>
      <c r="D1" s="5" t="s">
        <v>33</v>
      </c>
      <c r="E1" s="4" t="s">
        <v>21</v>
      </c>
      <c r="F1" s="4" t="s">
        <v>22</v>
      </c>
      <c r="G1" s="4" t="s">
        <v>23</v>
      </c>
      <c r="H1" s="1" t="s">
        <v>34</v>
      </c>
      <c r="I1" s="4" t="s">
        <v>25</v>
      </c>
      <c r="J1" s="1" t="s">
        <v>35</v>
      </c>
      <c r="K1" s="4" t="s">
        <v>26</v>
      </c>
      <c r="L1" s="1" t="s">
        <v>36</v>
      </c>
      <c r="M1" s="4" t="s">
        <v>28</v>
      </c>
      <c r="N1" s="1" t="s">
        <v>37</v>
      </c>
      <c r="O1" s="4" t="s">
        <v>30</v>
      </c>
      <c r="P1" s="4" t="s">
        <v>31</v>
      </c>
      <c r="Q1" s="4" t="s">
        <v>32</v>
      </c>
      <c r="R1" s="2" t="s">
        <v>38</v>
      </c>
      <c r="S1" s="2" t="s">
        <v>39</v>
      </c>
    </row>
    <row r="2">
      <c r="B2" s="3" t="s">
        <v>11</v>
      </c>
      <c r="C2" s="3">
        <v>116.0</v>
      </c>
      <c r="D2" s="6">
        <v>137848.0</v>
      </c>
      <c r="E2" s="3">
        <v>771960.0</v>
      </c>
      <c r="F2" s="3">
        <v>6654.827586206897</v>
      </c>
      <c r="G2" s="3">
        <v>558.289997963234</v>
      </c>
      <c r="H2" s="3">
        <v>4.81284481002788</v>
      </c>
      <c r="I2" s="3">
        <v>558.289997963234</v>
      </c>
      <c r="J2" s="3">
        <v>4.81284481002788</v>
      </c>
      <c r="K2" s="3">
        <v>0.0</v>
      </c>
      <c r="L2" s="3">
        <f t="shared" ref="L2:L8" si="1">K2/C2</f>
        <v>0</v>
      </c>
      <c r="M2" s="3">
        <v>555.000001804903</v>
      </c>
      <c r="N2" s="3">
        <v>4.784482774180199</v>
      </c>
      <c r="O2" s="7">
        <v>0.277927927769142</v>
      </c>
      <c r="P2" s="7">
        <v>0.118972971554527</v>
      </c>
      <c r="Q2" s="7">
        <v>0.60309910067633</v>
      </c>
      <c r="R2" s="3">
        <f t="shared" ref="R2:R8" si="2">D2/C2</f>
        <v>1188.344828</v>
      </c>
      <c r="S2" s="3">
        <f t="shared" ref="S2:S8" si="3">R2/60</f>
        <v>19.80574713</v>
      </c>
    </row>
    <row r="3">
      <c r="B3" s="3" t="s">
        <v>13</v>
      </c>
      <c r="C3" s="3">
        <v>108.0</v>
      </c>
      <c r="D3" s="6">
        <v>134404.0</v>
      </c>
      <c r="E3" s="3">
        <v>813491.0</v>
      </c>
      <c r="F3" s="3">
        <v>7532.324074074074</v>
      </c>
      <c r="G3" s="3">
        <v>576.599999703467</v>
      </c>
      <c r="H3" s="3">
        <v>5.338888886143213</v>
      </c>
      <c r="I3" s="3">
        <v>574.959999360144</v>
      </c>
      <c r="J3" s="3">
        <v>5.323703697779111</v>
      </c>
      <c r="K3" s="3">
        <v>1.64000034332275</v>
      </c>
      <c r="L3" s="3">
        <f t="shared" si="1"/>
        <v>0.01518518836</v>
      </c>
      <c r="M3" s="3">
        <v>569.000000644475</v>
      </c>
      <c r="N3" s="3">
        <v>5.26851852448588</v>
      </c>
      <c r="O3" s="7">
        <v>0.279402461234626</v>
      </c>
      <c r="P3" s="7">
        <v>0.112952548280248</v>
      </c>
      <c r="Q3" s="7">
        <v>0.607644990485125</v>
      </c>
      <c r="R3" s="3">
        <f t="shared" si="2"/>
        <v>1244.481481</v>
      </c>
      <c r="S3" s="3">
        <f t="shared" si="3"/>
        <v>20.74135802</v>
      </c>
    </row>
    <row r="4">
      <c r="B4" s="3" t="s">
        <v>15</v>
      </c>
      <c r="C4" s="3">
        <v>139.0</v>
      </c>
      <c r="D4" s="6">
        <v>170839.0</v>
      </c>
      <c r="E4" s="3">
        <v>1153509.0</v>
      </c>
      <c r="F4" s="3">
        <v>8298.625899280576</v>
      </c>
      <c r="G4" s="3">
        <v>829.059994647279</v>
      </c>
      <c r="H4" s="3">
        <v>5.964460393145893</v>
      </c>
      <c r="I4" s="3">
        <v>826.109994838014</v>
      </c>
      <c r="J4" s="3">
        <v>5.943237372935353</v>
      </c>
      <c r="K4" s="3">
        <v>2.94999980926502</v>
      </c>
      <c r="L4" s="3">
        <f t="shared" si="1"/>
        <v>0.02122302021</v>
      </c>
      <c r="M4" s="3">
        <v>805.880000090226</v>
      </c>
      <c r="N4" s="3">
        <v>5.797697842375726</v>
      </c>
      <c r="O4" s="7">
        <v>0.299101603805818</v>
      </c>
      <c r="P4" s="7">
        <v>0.110351416960761</v>
      </c>
      <c r="Q4" s="7">
        <v>0.590546979233419</v>
      </c>
      <c r="R4" s="3">
        <f t="shared" si="2"/>
        <v>1229.057554</v>
      </c>
      <c r="S4" s="3">
        <f t="shared" si="3"/>
        <v>20.48429257</v>
      </c>
    </row>
    <row r="5">
      <c r="B5" s="3" t="s">
        <v>16</v>
      </c>
      <c r="C5" s="3">
        <v>136.0</v>
      </c>
      <c r="D5" s="6">
        <v>162500.0</v>
      </c>
      <c r="E5" s="3">
        <v>1050707.0</v>
      </c>
      <c r="F5" s="3">
        <v>7725.786764705882</v>
      </c>
      <c r="G5" s="3">
        <v>764.59999919869</v>
      </c>
      <c r="H5" s="3">
        <v>5.622058817637427</v>
      </c>
      <c r="I5" s="3">
        <v>761.489999542012</v>
      </c>
      <c r="J5" s="3">
        <v>5.59919117310303</v>
      </c>
      <c r="K5" s="3">
        <v>3.10999965667724</v>
      </c>
      <c r="L5" s="3">
        <f t="shared" si="1"/>
        <v>0.02286764453</v>
      </c>
      <c r="M5" s="3">
        <v>754.110000927001</v>
      </c>
      <c r="N5" s="3">
        <v>5.544926477404419</v>
      </c>
      <c r="O5" s="7">
        <v>0.317950961699438</v>
      </c>
      <c r="P5" s="7">
        <v>0.10189494881072</v>
      </c>
      <c r="Q5" s="7">
        <v>0.58015408948984</v>
      </c>
      <c r="R5" s="3">
        <f t="shared" si="2"/>
        <v>1194.852941</v>
      </c>
      <c r="S5" s="3">
        <f t="shared" si="3"/>
        <v>19.91421569</v>
      </c>
    </row>
    <row r="6">
      <c r="B6" s="3" t="s">
        <v>17</v>
      </c>
      <c r="C6" s="3">
        <v>134.0</v>
      </c>
      <c r="D6" s="6">
        <v>155690.0</v>
      </c>
      <c r="E6" s="3">
        <v>983252.0</v>
      </c>
      <c r="F6" s="3">
        <v>7337.701492537313</v>
      </c>
      <c r="G6" s="3">
        <v>702.230003083124</v>
      </c>
      <c r="H6" s="3">
        <v>5.240522411068089</v>
      </c>
      <c r="I6" s="3">
        <v>700.410002911463</v>
      </c>
      <c r="J6" s="3">
        <v>5.226940320234799</v>
      </c>
      <c r="K6" s="3">
        <v>1.82000017166137</v>
      </c>
      <c r="L6" s="3">
        <f t="shared" si="1"/>
        <v>0.01358209083</v>
      </c>
      <c r="M6" s="3">
        <v>683.05000090599</v>
      </c>
      <c r="N6" s="3">
        <v>5.097388066462612</v>
      </c>
      <c r="O6" s="7">
        <v>0.270990411838821</v>
      </c>
      <c r="P6" s="7">
        <v>0.0990996264850004</v>
      </c>
      <c r="Q6" s="7">
        <v>0.629909961676177</v>
      </c>
      <c r="R6" s="3">
        <f t="shared" si="2"/>
        <v>1161.865672</v>
      </c>
      <c r="S6" s="3">
        <f t="shared" si="3"/>
        <v>19.36442786</v>
      </c>
    </row>
    <row r="7">
      <c r="B7" s="3" t="s">
        <v>18</v>
      </c>
      <c r="C7" s="3">
        <v>112.0</v>
      </c>
      <c r="D7" s="6">
        <v>136069.0</v>
      </c>
      <c r="E7" s="3">
        <v>828364.0</v>
      </c>
      <c r="F7" s="3">
        <v>7396.107142857143</v>
      </c>
      <c r="G7" s="3">
        <v>590.449999216944</v>
      </c>
      <c r="H7" s="3">
        <v>5.271874993008429</v>
      </c>
      <c r="I7" s="3">
        <v>589.569999102503</v>
      </c>
      <c r="J7" s="3">
        <v>5.26401784912949</v>
      </c>
      <c r="K7" s="3">
        <v>0.880000114440918</v>
      </c>
      <c r="L7" s="3">
        <f t="shared" si="1"/>
        <v>0.007857143879</v>
      </c>
      <c r="M7" s="3">
        <v>587.749997172504</v>
      </c>
      <c r="N7" s="3">
        <v>5.247767831897357</v>
      </c>
      <c r="O7" s="7">
        <v>0.26179498159433</v>
      </c>
      <c r="P7" s="7">
        <v>0.102917907556658</v>
      </c>
      <c r="Q7" s="7">
        <v>0.63528711084901</v>
      </c>
      <c r="R7" s="3">
        <f t="shared" si="2"/>
        <v>1214.901786</v>
      </c>
      <c r="S7" s="3">
        <f t="shared" si="3"/>
        <v>20.2483631</v>
      </c>
    </row>
    <row r="8">
      <c r="B8" s="3" t="s">
        <v>19</v>
      </c>
      <c r="C8" s="3">
        <v>113.0</v>
      </c>
      <c r="D8" s="6">
        <v>134020.0</v>
      </c>
      <c r="E8" s="3">
        <v>916731.0</v>
      </c>
      <c r="F8" s="3">
        <v>8112.66371681416</v>
      </c>
      <c r="G8" s="3">
        <v>660.61000005342</v>
      </c>
      <c r="H8" s="3">
        <v>5.846106195163009</v>
      </c>
      <c r="I8" s="3">
        <v>660.61000005342</v>
      </c>
      <c r="J8" s="3">
        <v>5.846106195163009</v>
      </c>
      <c r="K8" s="3">
        <v>0.0</v>
      </c>
      <c r="L8" s="3">
        <f t="shared" si="1"/>
        <v>0</v>
      </c>
      <c r="M8" s="3">
        <v>655.08999681659</v>
      </c>
      <c r="N8" s="3">
        <v>5.7972566089963715</v>
      </c>
      <c r="O8" s="7">
        <v>0.270283470518766</v>
      </c>
      <c r="P8" s="7">
        <v>0.122883878209889</v>
      </c>
      <c r="Q8" s="7">
        <v>0.606832651271343</v>
      </c>
      <c r="R8" s="3">
        <f t="shared" si="2"/>
        <v>1186.017699</v>
      </c>
      <c r="S8" s="3">
        <f t="shared" si="3"/>
        <v>19.76696165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1.644430081E9</v>
      </c>
      <c r="B2" s="2">
        <v>26.0</v>
      </c>
      <c r="C2" s="2">
        <v>164187.0</v>
      </c>
      <c r="D2" s="2">
        <v>119.360000610351</v>
      </c>
      <c r="E2" s="2">
        <v>119.360000610351</v>
      </c>
      <c r="F2" s="2">
        <v>0.0</v>
      </c>
      <c r="G2" s="2" t="s">
        <v>12</v>
      </c>
      <c r="H2" s="2">
        <v>119.290000457316</v>
      </c>
      <c r="I2" s="2">
        <v>0.117612540113614</v>
      </c>
      <c r="J2" s="2">
        <v>0.216028165883227</v>
      </c>
      <c r="K2" s="2">
        <v>0.666359294003158</v>
      </c>
    </row>
    <row r="3">
      <c r="A3" s="2">
        <v>2.022484408E9</v>
      </c>
      <c r="B3" s="2">
        <v>30.0</v>
      </c>
      <c r="C3" s="2">
        <v>352490.0</v>
      </c>
      <c r="D3" s="2">
        <v>250.609998226165</v>
      </c>
      <c r="E3" s="2">
        <v>250.609998226165</v>
      </c>
      <c r="F3" s="2">
        <v>0.0</v>
      </c>
      <c r="G3" s="2" t="s">
        <v>12</v>
      </c>
      <c r="H3" s="2">
        <v>250.609999284148</v>
      </c>
      <c r="I3" s="2">
        <v>0.299549098644243</v>
      </c>
      <c r="J3" s="2">
        <v>0.0890626876856918</v>
      </c>
      <c r="K3" s="2">
        <v>0.611388213670065</v>
      </c>
    </row>
    <row r="4">
      <c r="A4" s="2">
        <v>2.347167796E9</v>
      </c>
      <c r="B4" s="2">
        <v>17.0</v>
      </c>
      <c r="C4" s="2">
        <v>171354.0</v>
      </c>
      <c r="D4" s="2">
        <v>114.39999964647</v>
      </c>
      <c r="E4" s="2">
        <v>114.39999964647</v>
      </c>
      <c r="F4" s="2">
        <v>0.0</v>
      </c>
      <c r="G4" s="2" t="s">
        <v>12</v>
      </c>
      <c r="H4" s="2">
        <v>114.410000393167</v>
      </c>
      <c r="I4" s="2">
        <v>0.166681231796813</v>
      </c>
      <c r="J4" s="2">
        <v>0.169128570741474</v>
      </c>
      <c r="K4" s="2">
        <v>0.664190197461711</v>
      </c>
    </row>
    <row r="5">
      <c r="A5" s="2">
        <v>3.977333714E9</v>
      </c>
      <c r="B5" s="2">
        <v>29.0</v>
      </c>
      <c r="C5" s="2">
        <v>329537.0</v>
      </c>
      <c r="D5" s="2">
        <v>225.509998321533</v>
      </c>
      <c r="E5" s="2">
        <v>225.509998321533</v>
      </c>
      <c r="F5" s="2">
        <v>0.0</v>
      </c>
      <c r="G5" s="2" t="s">
        <v>12</v>
      </c>
      <c r="H5" s="2">
        <v>225.009999178349</v>
      </c>
      <c r="I5" s="2">
        <v>0.21532376183685</v>
      </c>
      <c r="J5" s="2">
        <v>0.366783697065513</v>
      </c>
      <c r="K5" s="2">
        <v>0.417892541097635</v>
      </c>
    </row>
    <row r="6">
      <c r="A6" s="2">
        <v>4.319703577E9</v>
      </c>
      <c r="B6" s="2">
        <v>30.0</v>
      </c>
      <c r="C6" s="2">
        <v>225334.0</v>
      </c>
      <c r="D6" s="2">
        <v>151.659999458119</v>
      </c>
      <c r="E6" s="2">
        <v>151.659999458119</v>
      </c>
      <c r="F6" s="2">
        <v>0.0</v>
      </c>
      <c r="G6" s="2" t="s">
        <v>12</v>
      </c>
      <c r="H6" s="2">
        <v>141.019998801872</v>
      </c>
      <c r="I6" s="2">
        <v>0.0611260819600428</v>
      </c>
      <c r="J6" s="2">
        <v>0.110409871933298</v>
      </c>
      <c r="K6" s="2">
        <v>0.828464046106658</v>
      </c>
    </row>
    <row r="7">
      <c r="A7" s="2">
        <v>4.388161847E9</v>
      </c>
      <c r="B7" s="2">
        <v>30.0</v>
      </c>
      <c r="C7" s="2">
        <v>335232.0</v>
      </c>
      <c r="D7" s="2">
        <v>260.190002679824</v>
      </c>
      <c r="E7" s="2">
        <v>260.190002679824</v>
      </c>
      <c r="F7" s="2">
        <v>0.0</v>
      </c>
      <c r="G7" s="2" t="s">
        <v>12</v>
      </c>
      <c r="H7" s="2">
        <v>248.540000136941</v>
      </c>
      <c r="I7" s="2">
        <v>0.214452401403064</v>
      </c>
      <c r="J7" s="2">
        <v>0.11249698156926</v>
      </c>
      <c r="K7" s="2">
        <v>0.673050617027674</v>
      </c>
    </row>
    <row r="8">
      <c r="A8" s="2">
        <v>4.702921684E9</v>
      </c>
      <c r="B8" s="2">
        <v>30.0</v>
      </c>
      <c r="C8" s="2">
        <v>265734.0</v>
      </c>
      <c r="D8" s="2">
        <v>215.609999775886</v>
      </c>
      <c r="E8" s="2">
        <v>215.609999775886</v>
      </c>
      <c r="F8" s="2">
        <v>0.0</v>
      </c>
      <c r="G8" s="2" t="s">
        <v>12</v>
      </c>
      <c r="H8" s="2">
        <v>215.380001544952</v>
      </c>
      <c r="I8" s="2">
        <v>0.060079858412087</v>
      </c>
      <c r="J8" s="2">
        <v>0.187807594474534</v>
      </c>
      <c r="K8" s="2">
        <v>0.752112547113378</v>
      </c>
    </row>
    <row r="9">
      <c r="A9" s="2">
        <v>5.577150313E9</v>
      </c>
      <c r="B9" s="2">
        <v>29.0</v>
      </c>
      <c r="C9" s="2">
        <v>249133.0</v>
      </c>
      <c r="D9" s="2">
        <v>186.399999141693</v>
      </c>
      <c r="E9" s="2">
        <v>186.399999141693</v>
      </c>
      <c r="F9" s="2">
        <v>0.0</v>
      </c>
      <c r="G9" s="2" t="s">
        <v>12</v>
      </c>
      <c r="H9" s="2">
        <v>185.989999487996</v>
      </c>
      <c r="I9" s="2">
        <v>0.502231302358957</v>
      </c>
      <c r="J9" s="2">
        <v>0.106134739491309</v>
      </c>
      <c r="K9" s="2">
        <v>0.391633958149733</v>
      </c>
    </row>
    <row r="10">
      <c r="A10" s="2">
        <v>6.775888955E9</v>
      </c>
      <c r="B10" s="2">
        <v>25.0</v>
      </c>
      <c r="C10" s="2">
        <v>65512.0</v>
      </c>
      <c r="D10" s="2">
        <v>47.1499994192272</v>
      </c>
      <c r="E10" s="2">
        <v>47.1499994192272</v>
      </c>
      <c r="F10" s="2">
        <v>0.0</v>
      </c>
      <c r="G10" s="2" t="s">
        <v>12</v>
      </c>
      <c r="H10" s="2">
        <v>46.9300000537186</v>
      </c>
      <c r="I10" s="2">
        <v>0.39292563207284</v>
      </c>
      <c r="J10" s="2">
        <v>0.212870232220363</v>
      </c>
      <c r="K10" s="2">
        <v>0.394204135706796</v>
      </c>
    </row>
    <row r="11">
      <c r="A11" s="2">
        <v>6.962181067E9</v>
      </c>
      <c r="B11" s="2">
        <v>30.0</v>
      </c>
      <c r="C11" s="2">
        <v>278565.0</v>
      </c>
      <c r="D11" s="2">
        <v>185.180000305175</v>
      </c>
      <c r="E11" s="2">
        <v>185.140000343322</v>
      </c>
      <c r="F11" s="2">
        <v>0.0399999618530273</v>
      </c>
      <c r="G11" s="2" t="s">
        <v>14</v>
      </c>
      <c r="H11" s="2">
        <v>185.160000786185</v>
      </c>
      <c r="I11" s="2">
        <v>0.232771657051491</v>
      </c>
      <c r="J11" s="2">
        <v>0.14031108141206</v>
      </c>
      <c r="K11" s="2">
        <v>0.626917261536447</v>
      </c>
    </row>
    <row r="12">
      <c r="A12" s="2">
        <v>7.007744171E9</v>
      </c>
      <c r="B12" s="2">
        <v>25.0</v>
      </c>
      <c r="C12" s="2">
        <v>279593.0</v>
      </c>
      <c r="D12" s="2">
        <v>197.419999837875</v>
      </c>
      <c r="E12" s="2">
        <v>187.05999970436</v>
      </c>
      <c r="F12" s="2">
        <v>10.3600001335144</v>
      </c>
      <c r="G12" s="2" t="s">
        <v>14</v>
      </c>
      <c r="H12" s="2">
        <v>197.429999023675</v>
      </c>
      <c r="I12" s="2">
        <v>0.298840095191923</v>
      </c>
      <c r="J12" s="2">
        <v>0.0865116749144869</v>
      </c>
      <c r="K12" s="2">
        <v>0.614648229893588</v>
      </c>
    </row>
    <row r="13">
      <c r="A13" s="2">
        <v>7.086361926E9</v>
      </c>
      <c r="B13" s="2">
        <v>30.0</v>
      </c>
      <c r="C13" s="2">
        <v>290525.0</v>
      </c>
      <c r="D13" s="2">
        <v>198.029999742284</v>
      </c>
      <c r="E13" s="2">
        <v>198.029999742284</v>
      </c>
      <c r="F13" s="2">
        <v>0.0</v>
      </c>
      <c r="G13" s="2" t="s">
        <v>12</v>
      </c>
      <c r="H13" s="2">
        <v>197.569999562576</v>
      </c>
      <c r="I13" s="2">
        <v>0.436402289209432</v>
      </c>
      <c r="J13" s="2">
        <v>0.121324087663733</v>
      </c>
      <c r="K13" s="2">
        <v>0.442273623126834</v>
      </c>
    </row>
    <row r="14">
      <c r="A14" s="2">
        <v>8.253242879E9</v>
      </c>
      <c r="B14" s="2">
        <v>18.0</v>
      </c>
      <c r="C14" s="2">
        <v>116695.0</v>
      </c>
      <c r="D14" s="2">
        <v>84.4100009202957</v>
      </c>
      <c r="E14" s="2">
        <v>84.4100009202957</v>
      </c>
      <c r="F14" s="2">
        <v>0.0</v>
      </c>
      <c r="G14" s="2" t="s">
        <v>12</v>
      </c>
      <c r="H14" s="2">
        <v>84.3699995279311</v>
      </c>
      <c r="I14" s="2">
        <v>0.494725607773207</v>
      </c>
      <c r="J14" s="2">
        <v>0.146971673994854</v>
      </c>
      <c r="K14" s="2">
        <v>0.358302718231938</v>
      </c>
    </row>
    <row r="15">
      <c r="A15" s="2">
        <v>8.583815059E9</v>
      </c>
      <c r="B15" s="2">
        <v>30.0</v>
      </c>
      <c r="C15" s="2">
        <v>223154.0</v>
      </c>
      <c r="D15" s="2">
        <v>174.079998493194</v>
      </c>
      <c r="E15" s="2">
        <v>174.079998493194</v>
      </c>
      <c r="F15" s="2">
        <v>0.0</v>
      </c>
      <c r="G15" s="2" t="s">
        <v>12</v>
      </c>
      <c r="H15" s="2">
        <v>137.519999787211</v>
      </c>
      <c r="I15" s="2">
        <v>0.179901107754437</v>
      </c>
      <c r="J15" s="2">
        <v>0.230075623827684</v>
      </c>
      <c r="K15" s="2">
        <v>0.590023268417877</v>
      </c>
    </row>
    <row r="16">
      <c r="A16" s="2">
        <v>8.792009665E9</v>
      </c>
      <c r="B16" s="2">
        <v>28.0</v>
      </c>
      <c r="C16" s="2">
        <v>53758.0</v>
      </c>
      <c r="D16" s="2">
        <v>34.4099997878074</v>
      </c>
      <c r="E16" s="2">
        <v>34.4099997878074</v>
      </c>
      <c r="F16" s="2">
        <v>0.0</v>
      </c>
      <c r="G16" s="2" t="s">
        <v>12</v>
      </c>
      <c r="H16" s="2">
        <v>34.4099998772144</v>
      </c>
      <c r="I16" s="2">
        <v>0.0209241503212136</v>
      </c>
      <c r="J16" s="2">
        <v>0.0491136304060654</v>
      </c>
      <c r="K16" s="2">
        <v>0.92996221927272</v>
      </c>
    </row>
    <row r="17">
      <c r="A17" s="2">
        <v>1.624580081E9</v>
      </c>
      <c r="B17" s="2">
        <v>29.0</v>
      </c>
      <c r="C17" s="2">
        <v>73303.0</v>
      </c>
      <c r="D17" s="2">
        <v>47.9399998188018</v>
      </c>
      <c r="E17" s="2">
        <v>47.9399998188018</v>
      </c>
      <c r="F17" s="2">
        <v>0.0</v>
      </c>
      <c r="G17" s="2" t="s">
        <v>12</v>
      </c>
      <c r="H17" s="2">
        <v>47.8900000602006</v>
      </c>
      <c r="I17" s="2">
        <v>0.0651493004979397</v>
      </c>
      <c r="J17" s="2">
        <v>0.074545834271474</v>
      </c>
      <c r="K17" s="2">
        <v>0.860304865230586</v>
      </c>
    </row>
    <row r="18">
      <c r="A18" s="2">
        <v>1.844505072E9</v>
      </c>
      <c r="B18" s="2">
        <v>30.0</v>
      </c>
      <c r="C18" s="2">
        <v>79982.0</v>
      </c>
      <c r="D18" s="2">
        <v>52.8900001421571</v>
      </c>
      <c r="E18" s="2">
        <v>52.8900001421571</v>
      </c>
      <c r="F18" s="2">
        <v>0.0</v>
      </c>
      <c r="G18" s="2" t="s">
        <v>12</v>
      </c>
      <c r="H18" s="2">
        <v>52.8499994426965</v>
      </c>
      <c r="I18" s="2">
        <v>0.00491958373993448</v>
      </c>
      <c r="J18" s="2">
        <v>0.0287606427086584</v>
      </c>
      <c r="K18" s="2">
        <v>0.966319773551407</v>
      </c>
    </row>
    <row r="19">
      <c r="A19" s="2">
        <v>1.927972279E9</v>
      </c>
      <c r="B19" s="2">
        <v>30.0</v>
      </c>
      <c r="C19" s="2">
        <v>28400.0</v>
      </c>
      <c r="D19" s="2">
        <v>19.6699998155236</v>
      </c>
      <c r="E19" s="2">
        <v>19.6699998155236</v>
      </c>
      <c r="F19" s="2">
        <v>0.0</v>
      </c>
      <c r="G19" s="2" t="s">
        <v>12</v>
      </c>
      <c r="H19" s="2">
        <v>19.6599998157471</v>
      </c>
      <c r="I19" s="2">
        <v>0.151068158916119</v>
      </c>
      <c r="J19" s="2">
        <v>0.0493387599662883</v>
      </c>
      <c r="K19" s="2">
        <v>0.799593081117592</v>
      </c>
    </row>
    <row r="20">
      <c r="A20" s="2">
        <v>2.026352035E9</v>
      </c>
      <c r="B20" s="2">
        <v>30.0</v>
      </c>
      <c r="C20" s="2">
        <v>172573.0</v>
      </c>
      <c r="D20" s="2">
        <v>107.100000172853</v>
      </c>
      <c r="E20" s="2">
        <v>107.100000172853</v>
      </c>
      <c r="F20" s="2">
        <v>0.0</v>
      </c>
      <c r="G20" s="2" t="s">
        <v>12</v>
      </c>
      <c r="H20" s="2">
        <v>107.060000240802</v>
      </c>
      <c r="I20" s="2">
        <v>0.00177470574620268</v>
      </c>
      <c r="J20" s="2">
        <v>0.00326919478098547</v>
      </c>
      <c r="K20" s="2">
        <v>0.994956099472811</v>
      </c>
    </row>
    <row r="21">
      <c r="A21" s="2">
        <v>2.320127002E9</v>
      </c>
      <c r="B21" s="2">
        <v>30.0</v>
      </c>
      <c r="C21" s="2">
        <v>146223.0</v>
      </c>
      <c r="D21" s="2">
        <v>98.8199990391731</v>
      </c>
      <c r="E21" s="2">
        <v>98.8199990391731</v>
      </c>
      <c r="F21" s="2">
        <v>0.0</v>
      </c>
      <c r="G21" s="2" t="s">
        <v>12</v>
      </c>
      <c r="H21" s="2">
        <v>98.7299995236098</v>
      </c>
      <c r="I21" s="2">
        <v>0.0335257773698884</v>
      </c>
      <c r="J21" s="2">
        <v>0.0306897598096836</v>
      </c>
      <c r="K21" s="2">
        <v>0.935784462820427</v>
      </c>
    </row>
    <row r="22">
      <c r="A22" s="2">
        <v>2.873212765E9</v>
      </c>
      <c r="B22" s="2">
        <v>30.0</v>
      </c>
      <c r="C22" s="2">
        <v>128613.0</v>
      </c>
      <c r="D22" s="2">
        <v>86.7899990081787</v>
      </c>
      <c r="E22" s="2">
        <v>86.7899990081787</v>
      </c>
      <c r="F22" s="2">
        <v>0.0</v>
      </c>
      <c r="G22" s="2" t="s">
        <v>12</v>
      </c>
      <c r="H22" s="2">
        <v>86.780000578612</v>
      </c>
      <c r="I22" s="2">
        <v>0.152915418948612</v>
      </c>
      <c r="J22" s="2">
        <v>0.0684489505010695</v>
      </c>
      <c r="K22" s="2">
        <v>0.778635630550318</v>
      </c>
    </row>
    <row r="23">
      <c r="A23" s="2">
        <v>3.372868164E9</v>
      </c>
      <c r="B23" s="2">
        <v>13.0</v>
      </c>
      <c r="C23" s="2">
        <v>28778.0</v>
      </c>
      <c r="D23" s="2">
        <v>19.6600000858307</v>
      </c>
      <c r="E23" s="2">
        <v>19.6600000858307</v>
      </c>
      <c r="F23" s="2">
        <v>0.0</v>
      </c>
      <c r="G23" s="2" t="s">
        <v>12</v>
      </c>
      <c r="H23" s="2">
        <v>19.6299999058246</v>
      </c>
      <c r="I23" s="2">
        <v>0.126337240497775</v>
      </c>
      <c r="J23" s="2">
        <v>0.01426388194271</v>
      </c>
      <c r="K23" s="2">
        <v>0.859398877559514</v>
      </c>
    </row>
    <row r="24">
      <c r="A24" s="2">
        <v>4.02033265E9</v>
      </c>
      <c r="B24" s="2">
        <v>30.0</v>
      </c>
      <c r="C24" s="2">
        <v>44145.0</v>
      </c>
      <c r="D24" s="2">
        <v>31.6499997396022</v>
      </c>
      <c r="E24" s="2">
        <v>31.6499997396022</v>
      </c>
      <c r="F24" s="2">
        <v>0.0</v>
      </c>
      <c r="G24" s="2" t="s">
        <v>12</v>
      </c>
      <c r="H24" s="2">
        <v>30.5299996733665</v>
      </c>
      <c r="I24" s="2">
        <v>0.0586308557388572</v>
      </c>
      <c r="J24" s="2">
        <v>0.0766459220048831</v>
      </c>
      <c r="K24" s="2">
        <v>0.864723222256259</v>
      </c>
    </row>
    <row r="25">
      <c r="A25" s="2">
        <v>4.057192912E9</v>
      </c>
      <c r="B25" s="2">
        <v>3.0</v>
      </c>
      <c r="C25" s="2">
        <v>15352.0</v>
      </c>
      <c r="D25" s="2">
        <v>11.4500000476837</v>
      </c>
      <c r="E25" s="2">
        <v>11.4500000476837</v>
      </c>
      <c r="F25" s="2">
        <v>0.0</v>
      </c>
      <c r="G25" s="2" t="s">
        <v>12</v>
      </c>
      <c r="H25" s="2">
        <v>11.2199999839067</v>
      </c>
      <c r="I25" s="2">
        <v>0.0187165769825935</v>
      </c>
      <c r="J25" s="2">
        <v>0.0231729047091073</v>
      </c>
      <c r="K25" s="2">
        <v>0.958110518308299</v>
      </c>
    </row>
    <row r="26">
      <c r="A26" s="2">
        <v>4.445114986E9</v>
      </c>
      <c r="B26" s="2">
        <v>30.0</v>
      </c>
      <c r="C26" s="2">
        <v>148693.0</v>
      </c>
      <c r="D26" s="2">
        <v>100.61999964714</v>
      </c>
      <c r="E26" s="2">
        <v>100.61999964714</v>
      </c>
      <c r="F26" s="2">
        <v>0.0</v>
      </c>
      <c r="G26" s="2" t="s">
        <v>12</v>
      </c>
      <c r="H26" s="2">
        <v>100.550000129267</v>
      </c>
      <c r="I26" s="2">
        <v>0.161312780900213</v>
      </c>
      <c r="J26" s="2">
        <v>0.0232720037429495</v>
      </c>
      <c r="K26" s="2">
        <v>0.815415215356837</v>
      </c>
    </row>
    <row r="27">
      <c r="A27" s="2">
        <v>4.558609924E9</v>
      </c>
      <c r="B27" s="2">
        <v>30.0</v>
      </c>
      <c r="C27" s="2">
        <v>238239.0</v>
      </c>
      <c r="D27" s="2">
        <v>157.500000476837</v>
      </c>
      <c r="E27" s="2">
        <v>157.500000476837</v>
      </c>
      <c r="F27" s="2">
        <v>0.0</v>
      </c>
      <c r="G27" s="2" t="s">
        <v>12</v>
      </c>
      <c r="H27" s="2">
        <v>157.460000388324</v>
      </c>
      <c r="I27" s="2">
        <v>0.108154451712458</v>
      </c>
      <c r="J27" s="2">
        <v>0.134319827248217</v>
      </c>
      <c r="K27" s="2">
        <v>0.757525721039324</v>
      </c>
    </row>
    <row r="28">
      <c r="A28" s="2">
        <v>5.553957443E9</v>
      </c>
      <c r="B28" s="2">
        <v>30.0</v>
      </c>
      <c r="C28" s="2">
        <v>266990.0</v>
      </c>
      <c r="D28" s="2">
        <v>174.830000936984</v>
      </c>
      <c r="E28" s="2">
        <v>174.830000936984</v>
      </c>
      <c r="F28" s="2">
        <v>0.0</v>
      </c>
      <c r="G28" s="2" t="s">
        <v>12</v>
      </c>
      <c r="H28" s="2">
        <v>174.769999146461</v>
      </c>
      <c r="I28" s="2">
        <v>0.259712766705796</v>
      </c>
      <c r="J28" s="2">
        <v>0.118670253818378</v>
      </c>
      <c r="K28" s="2">
        <v>0.621616979475825</v>
      </c>
    </row>
    <row r="29">
      <c r="A29" s="2">
        <v>6.11766616E9</v>
      </c>
      <c r="B29" s="2">
        <v>27.0</v>
      </c>
      <c r="C29" s="2">
        <v>197308.0</v>
      </c>
      <c r="D29" s="2">
        <v>149.580001592636</v>
      </c>
      <c r="E29" s="2">
        <v>149.580001592636</v>
      </c>
      <c r="F29" s="2">
        <v>0.0</v>
      </c>
      <c r="G29" s="2" t="s">
        <v>12</v>
      </c>
      <c r="H29" s="2">
        <v>141.550000369548</v>
      </c>
      <c r="I29" s="2">
        <v>0.0253620626238179</v>
      </c>
      <c r="J29" s="2">
        <v>0.0166019075782878</v>
      </c>
      <c r="K29" s="2">
        <v>0.958036029797894</v>
      </c>
    </row>
    <row r="30">
      <c r="A30" s="2">
        <v>6.290855005E9</v>
      </c>
      <c r="B30" s="2">
        <v>28.0</v>
      </c>
      <c r="C30" s="2">
        <v>55880.0</v>
      </c>
      <c r="D30" s="2">
        <v>42.2599999904632</v>
      </c>
      <c r="E30" s="2">
        <v>42.2599999904632</v>
      </c>
      <c r="F30" s="2">
        <v>0.0</v>
      </c>
      <c r="G30" s="2" t="s">
        <v>12</v>
      </c>
      <c r="H30" s="2">
        <v>42.2299999594688</v>
      </c>
      <c r="I30" s="2">
        <v>0.0269950269189919</v>
      </c>
      <c r="J30" s="2">
        <v>0.0187070808007551</v>
      </c>
      <c r="K30" s="2">
        <v>0.954297892280253</v>
      </c>
    </row>
    <row r="31">
      <c r="A31" s="2">
        <v>8.053475328E9</v>
      </c>
      <c r="B31" s="2">
        <v>30.0</v>
      </c>
      <c r="C31" s="2">
        <v>457662.0</v>
      </c>
      <c r="D31" s="2">
        <v>355.72999715805</v>
      </c>
      <c r="E31" s="2">
        <v>355.72999715805</v>
      </c>
      <c r="F31" s="2">
        <v>0.0</v>
      </c>
      <c r="G31" s="2" t="s">
        <v>12</v>
      </c>
      <c r="H31" s="2">
        <v>355.650000493973</v>
      </c>
      <c r="I31" s="2">
        <v>0.742190357444675</v>
      </c>
      <c r="J31" s="2">
        <v>0.036946435791405</v>
      </c>
      <c r="K31" s="2">
        <v>0.220863206763919</v>
      </c>
    </row>
    <row r="32">
      <c r="A32" s="2">
        <v>8.3785632E9</v>
      </c>
      <c r="B32" s="2">
        <v>30.0</v>
      </c>
      <c r="C32" s="2">
        <v>270249.0</v>
      </c>
      <c r="D32" s="2">
        <v>214.320002317428</v>
      </c>
      <c r="E32" s="2">
        <v>214.320002317428</v>
      </c>
      <c r="F32" s="2">
        <v>0.0</v>
      </c>
      <c r="G32" s="2" t="s">
        <v>12</v>
      </c>
      <c r="H32" s="2">
        <v>214.269999817013</v>
      </c>
      <c r="I32" s="2">
        <v>0.362206564276934</v>
      </c>
      <c r="J32" s="2">
        <v>0.0750921730200634</v>
      </c>
      <c r="K32" s="2">
        <v>0.562701262703002</v>
      </c>
    </row>
    <row r="33">
      <c r="A33" s="2">
        <v>8.877689391E9</v>
      </c>
      <c r="B33" s="2">
        <v>30.0</v>
      </c>
      <c r="C33" s="2">
        <v>389202.0</v>
      </c>
      <c r="D33" s="2">
        <v>324.509998559951</v>
      </c>
      <c r="E33" s="2">
        <v>324.509998559951</v>
      </c>
      <c r="F33" s="2">
        <v>0.0</v>
      </c>
      <c r="G33" s="2" t="s">
        <v>12</v>
      </c>
      <c r="H33" s="2">
        <v>323.440000200644</v>
      </c>
      <c r="I33" s="2">
        <v>0.525816226009971</v>
      </c>
      <c r="J33" s="2">
        <v>0.027300272035451</v>
      </c>
      <c r="K33" s="2">
        <v>0.446883501954577</v>
      </c>
    </row>
    <row r="34">
      <c r="A34" s="2">
        <v>1.503960366E9</v>
      </c>
      <c r="B34" s="2">
        <v>30.0</v>
      </c>
      <c r="C34" s="2">
        <v>375619.0</v>
      </c>
      <c r="D34" s="2">
        <v>242.099998950958</v>
      </c>
      <c r="E34" s="2">
        <v>242.099998950958</v>
      </c>
      <c r="F34" s="2">
        <v>0.0</v>
      </c>
      <c r="G34" s="2" t="s">
        <v>12</v>
      </c>
      <c r="H34" s="2">
        <v>241.970000728964</v>
      </c>
      <c r="I34" s="2">
        <v>0.366202422714359</v>
      </c>
      <c r="J34" s="2">
        <v>0.101748149263453</v>
      </c>
      <c r="K34" s="2">
        <v>0.532049428022187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9" max="9" width="18.13"/>
  </cols>
  <sheetData>
    <row r="1">
      <c r="A1" s="3" t="s">
        <v>41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28</v>
      </c>
      <c r="H1" s="3" t="s">
        <v>51</v>
      </c>
      <c r="I1" s="3" t="s">
        <v>52</v>
      </c>
      <c r="J1" s="3" t="s">
        <v>53</v>
      </c>
    </row>
    <row r="2">
      <c r="A2" s="3"/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 t="e">
        <v>#NUM!</v>
      </c>
      <c r="I2" s="3" t="e">
        <v>#NUM!</v>
      </c>
      <c r="J2" s="3" t="e">
        <v>#NUM!</v>
      </c>
    </row>
    <row r="3">
      <c r="A3" s="3">
        <v>3.0</v>
      </c>
      <c r="B3" s="3">
        <v>1.0</v>
      </c>
      <c r="C3" s="3">
        <v>15352.0</v>
      </c>
      <c r="D3" s="3">
        <v>11.4500000476837</v>
      </c>
      <c r="E3" s="3">
        <v>11.4500000476837</v>
      </c>
      <c r="F3" s="3">
        <v>0.0</v>
      </c>
      <c r="G3" s="3">
        <v>11.2199999839067</v>
      </c>
      <c r="H3" s="3">
        <v>0.0187165769825935</v>
      </c>
      <c r="I3" s="3">
        <v>0.0231729047091073</v>
      </c>
      <c r="J3" s="3">
        <v>0.958110518308299</v>
      </c>
    </row>
    <row r="4">
      <c r="A4" s="3">
        <v>13.0</v>
      </c>
      <c r="B4" s="3">
        <v>1.0</v>
      </c>
      <c r="C4" s="3">
        <v>28778.0</v>
      </c>
      <c r="D4" s="3">
        <v>19.6600000858307</v>
      </c>
      <c r="E4" s="3">
        <v>19.6600000858307</v>
      </c>
      <c r="F4" s="3">
        <v>0.0</v>
      </c>
      <c r="G4" s="3">
        <v>19.6299999058246</v>
      </c>
      <c r="H4" s="3">
        <v>0.126337240497775</v>
      </c>
      <c r="I4" s="3">
        <v>0.01426388194271</v>
      </c>
      <c r="J4" s="3">
        <v>0.859398877559514</v>
      </c>
    </row>
    <row r="5">
      <c r="A5" s="3">
        <v>17.0</v>
      </c>
      <c r="B5" s="3">
        <v>1.0</v>
      </c>
      <c r="C5" s="3">
        <v>171354.0</v>
      </c>
      <c r="D5" s="3">
        <v>114.39999964647</v>
      </c>
      <c r="E5" s="3">
        <v>114.39999964647</v>
      </c>
      <c r="F5" s="3">
        <v>0.0</v>
      </c>
      <c r="G5" s="3">
        <v>114.410000393167</v>
      </c>
      <c r="H5" s="3">
        <v>0.166681231796813</v>
      </c>
      <c r="I5" s="3">
        <v>0.169128570741474</v>
      </c>
      <c r="J5" s="3">
        <v>0.664190197461711</v>
      </c>
    </row>
    <row r="6">
      <c r="A6" s="3">
        <v>18.0</v>
      </c>
      <c r="B6" s="3">
        <v>1.0</v>
      </c>
      <c r="C6" s="3">
        <v>116695.0</v>
      </c>
      <c r="D6" s="3">
        <v>84.4100009202957</v>
      </c>
      <c r="E6" s="3">
        <v>84.4100009202957</v>
      </c>
      <c r="F6" s="3">
        <v>0.0</v>
      </c>
      <c r="G6" s="3">
        <v>84.3699995279311</v>
      </c>
      <c r="H6" s="3">
        <v>0.494725607773207</v>
      </c>
      <c r="I6" s="3">
        <v>0.146971673994854</v>
      </c>
      <c r="J6" s="3">
        <v>0.358302718231938</v>
      </c>
    </row>
    <row r="7">
      <c r="A7" s="3">
        <v>25.0</v>
      </c>
      <c r="B7" s="3">
        <v>2.0</v>
      </c>
      <c r="C7" s="3">
        <v>345105.0</v>
      </c>
      <c r="D7" s="3">
        <v>244.5699992571022</v>
      </c>
      <c r="E7" s="3">
        <v>234.20999912358718</v>
      </c>
      <c r="F7" s="3">
        <v>10.3600001335144</v>
      </c>
      <c r="G7" s="3">
        <v>244.3599990773936</v>
      </c>
      <c r="H7" s="3">
        <v>0.3458828636323815</v>
      </c>
      <c r="I7" s="3">
        <v>0.14969095356742496</v>
      </c>
      <c r="J7" s="3">
        <v>0.504426182800192</v>
      </c>
    </row>
    <row r="8">
      <c r="A8" s="3">
        <v>26.0</v>
      </c>
      <c r="B8" s="3">
        <v>1.0</v>
      </c>
      <c r="C8" s="3">
        <v>164187.0</v>
      </c>
      <c r="D8" s="3">
        <v>119.360000610351</v>
      </c>
      <c r="E8" s="3">
        <v>119.360000610351</v>
      </c>
      <c r="F8" s="3">
        <v>0.0</v>
      </c>
      <c r="G8" s="3">
        <v>119.290000457316</v>
      </c>
      <c r="H8" s="3">
        <v>0.117612540113614</v>
      </c>
      <c r="I8" s="3">
        <v>0.216028165883227</v>
      </c>
      <c r="J8" s="3">
        <v>0.666359294003158</v>
      </c>
    </row>
    <row r="9">
      <c r="A9" s="3">
        <v>27.0</v>
      </c>
      <c r="B9" s="3">
        <v>1.0</v>
      </c>
      <c r="C9" s="3">
        <v>197308.0</v>
      </c>
      <c r="D9" s="3">
        <v>149.580001592636</v>
      </c>
      <c r="E9" s="3">
        <v>149.580001592636</v>
      </c>
      <c r="F9" s="3">
        <v>0.0</v>
      </c>
      <c r="G9" s="3">
        <v>141.550000369548</v>
      </c>
      <c r="H9" s="3">
        <v>0.0253620626238179</v>
      </c>
      <c r="I9" s="3">
        <v>0.0166019075782878</v>
      </c>
      <c r="J9" s="3">
        <v>0.958036029797894</v>
      </c>
    </row>
    <row r="10">
      <c r="A10" s="3">
        <v>28.0</v>
      </c>
      <c r="B10" s="3">
        <v>2.0</v>
      </c>
      <c r="C10" s="3">
        <v>109638.0</v>
      </c>
      <c r="D10" s="3">
        <v>76.66999977827061</v>
      </c>
      <c r="E10" s="3">
        <v>76.66999977827061</v>
      </c>
      <c r="F10" s="3">
        <v>0.0</v>
      </c>
      <c r="G10" s="3">
        <v>76.6399998366832</v>
      </c>
      <c r="H10" s="3">
        <v>0.02395958862010275</v>
      </c>
      <c r="I10" s="3">
        <v>0.03391035560341025</v>
      </c>
      <c r="J10" s="3">
        <v>0.9421300557764865</v>
      </c>
    </row>
    <row r="11">
      <c r="A11" s="3">
        <v>29.0</v>
      </c>
      <c r="B11" s="3">
        <v>3.0</v>
      </c>
      <c r="C11" s="3">
        <v>651973.0</v>
      </c>
      <c r="D11" s="3">
        <v>459.8499972820278</v>
      </c>
      <c r="E11" s="3">
        <v>459.8499972820278</v>
      </c>
      <c r="F11" s="3">
        <v>0.0</v>
      </c>
      <c r="G11" s="3">
        <v>458.88999872654557</v>
      </c>
      <c r="H11" s="3">
        <v>0.21532376183685</v>
      </c>
      <c r="I11" s="3">
        <v>0.106134739491309</v>
      </c>
      <c r="J11" s="3">
        <v>0.417892541097635</v>
      </c>
    </row>
    <row r="12">
      <c r="A12" s="3">
        <v>30.0</v>
      </c>
      <c r="B12" s="3">
        <v>20.0</v>
      </c>
      <c r="C12" s="3">
        <v>4717624.0</v>
      </c>
      <c r="D12" s="3">
        <v>3401.889994645483</v>
      </c>
      <c r="E12" s="3">
        <v>3401.84999468363</v>
      </c>
      <c r="F12" s="3">
        <v>0.0399999618530273</v>
      </c>
      <c r="G12" s="3">
        <v>3339.520000083365</v>
      </c>
      <c r="H12" s="3">
        <v>0.17060694432732498</v>
      </c>
      <c r="I12" s="3">
        <v>0.08285430484528744</v>
      </c>
      <c r="J12" s="3">
        <v>0.712581582070526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75"/>
    <col customWidth="1" min="8" max="8" width="16.75"/>
  </cols>
  <sheetData>
    <row r="1">
      <c r="A1" s="4" t="s">
        <v>41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28</v>
      </c>
      <c r="H1" s="4" t="s">
        <v>30</v>
      </c>
      <c r="I1" s="4" t="s">
        <v>31</v>
      </c>
      <c r="J1" s="4" t="s">
        <v>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>
        <v>3.0</v>
      </c>
      <c r="B2" s="3">
        <v>1.0</v>
      </c>
      <c r="C2" s="3">
        <v>15352.0</v>
      </c>
      <c r="D2" s="3">
        <v>11.4500000476837</v>
      </c>
      <c r="E2" s="3">
        <v>11.4500000476837</v>
      </c>
      <c r="F2" s="3">
        <v>0.0</v>
      </c>
      <c r="G2" s="3">
        <v>11.2199999839067</v>
      </c>
      <c r="H2" s="3">
        <v>0.0187165769825935</v>
      </c>
      <c r="I2" s="3">
        <v>0.0231729047091073</v>
      </c>
      <c r="J2" s="3">
        <v>0.958110518308299</v>
      </c>
      <c r="K2" s="3">
        <f t="shared" ref="K2:K11" si="1">(C2/B2)/A2</f>
        <v>5117.333333</v>
      </c>
      <c r="L2" s="3">
        <f t="shared" ref="L2:L11" si="2">(D2/B2)/A2</f>
        <v>3.816666683</v>
      </c>
      <c r="M2" s="3">
        <f t="shared" ref="M2:M11" si="3">(E2/B2)/A2</f>
        <v>3.816666683</v>
      </c>
      <c r="N2" s="3">
        <f t="shared" ref="N2:N11" si="4">(F2/B2)/A2</f>
        <v>0</v>
      </c>
      <c r="O2" s="3">
        <f t="shared" ref="O2:O11" si="5">(G2/B2)/A2</f>
        <v>3.739999995</v>
      </c>
    </row>
    <row r="3">
      <c r="A3" s="3">
        <v>13.0</v>
      </c>
      <c r="B3" s="3">
        <v>1.0</v>
      </c>
      <c r="C3" s="3">
        <v>28778.0</v>
      </c>
      <c r="D3" s="3">
        <v>19.6600000858307</v>
      </c>
      <c r="E3" s="3">
        <v>19.6600000858307</v>
      </c>
      <c r="F3" s="3">
        <v>0.0</v>
      </c>
      <c r="G3" s="3">
        <v>19.6299999058246</v>
      </c>
      <c r="H3" s="3">
        <v>0.126337240497775</v>
      </c>
      <c r="I3" s="3">
        <v>0.01426388194271</v>
      </c>
      <c r="J3" s="3">
        <v>0.859398877559514</v>
      </c>
      <c r="K3" s="3">
        <f t="shared" si="1"/>
        <v>2213.692308</v>
      </c>
      <c r="L3" s="3">
        <f t="shared" si="2"/>
        <v>1.512307699</v>
      </c>
      <c r="M3" s="3">
        <f t="shared" si="3"/>
        <v>1.512307699</v>
      </c>
      <c r="N3" s="3">
        <f t="shared" si="4"/>
        <v>0</v>
      </c>
      <c r="O3" s="3">
        <f t="shared" si="5"/>
        <v>1.509999993</v>
      </c>
    </row>
    <row r="4">
      <c r="A4" s="3">
        <v>17.0</v>
      </c>
      <c r="B4" s="3">
        <v>1.0</v>
      </c>
      <c r="C4" s="3">
        <v>171354.0</v>
      </c>
      <c r="D4" s="3">
        <v>114.39999964647</v>
      </c>
      <c r="E4" s="3">
        <v>114.39999964647</v>
      </c>
      <c r="F4" s="3">
        <v>0.0</v>
      </c>
      <c r="G4" s="3">
        <v>114.410000393167</v>
      </c>
      <c r="H4" s="3">
        <v>0.166681231796813</v>
      </c>
      <c r="I4" s="3">
        <v>0.169128570741474</v>
      </c>
      <c r="J4" s="3">
        <v>0.664190197461711</v>
      </c>
      <c r="K4" s="3">
        <f t="shared" si="1"/>
        <v>10079.64706</v>
      </c>
      <c r="L4" s="3">
        <f t="shared" si="2"/>
        <v>6.729411744</v>
      </c>
      <c r="M4" s="3">
        <f t="shared" si="3"/>
        <v>6.729411744</v>
      </c>
      <c r="N4" s="3">
        <f t="shared" si="4"/>
        <v>0</v>
      </c>
      <c r="O4" s="3">
        <f t="shared" si="5"/>
        <v>6.730000023</v>
      </c>
    </row>
    <row r="5">
      <c r="A5" s="3">
        <v>18.0</v>
      </c>
      <c r="B5" s="3">
        <v>1.0</v>
      </c>
      <c r="C5" s="3">
        <v>116695.0</v>
      </c>
      <c r="D5" s="3">
        <v>84.4100009202957</v>
      </c>
      <c r="E5" s="3">
        <v>84.4100009202957</v>
      </c>
      <c r="F5" s="3">
        <v>0.0</v>
      </c>
      <c r="G5" s="3">
        <v>84.3699995279311</v>
      </c>
      <c r="H5" s="3">
        <v>0.494725607773207</v>
      </c>
      <c r="I5" s="3">
        <v>0.146971673994854</v>
      </c>
      <c r="J5" s="3">
        <v>0.358302718231938</v>
      </c>
      <c r="K5" s="3">
        <f t="shared" si="1"/>
        <v>6483.055556</v>
      </c>
      <c r="L5" s="3">
        <f t="shared" si="2"/>
        <v>4.689444496</v>
      </c>
      <c r="M5" s="3">
        <f t="shared" si="3"/>
        <v>4.689444496</v>
      </c>
      <c r="N5" s="3">
        <f t="shared" si="4"/>
        <v>0</v>
      </c>
      <c r="O5" s="3">
        <f t="shared" si="5"/>
        <v>4.687222196</v>
      </c>
    </row>
    <row r="6">
      <c r="A6" s="3">
        <v>25.0</v>
      </c>
      <c r="B6" s="3">
        <v>2.0</v>
      </c>
      <c r="C6" s="3">
        <v>345105.0</v>
      </c>
      <c r="D6" s="3">
        <v>244.5699992571022</v>
      </c>
      <c r="E6" s="3">
        <v>234.20999912358718</v>
      </c>
      <c r="F6" s="3">
        <v>10.3600001335144</v>
      </c>
      <c r="G6" s="3">
        <v>244.3599990773936</v>
      </c>
      <c r="H6" s="3">
        <v>0.3458828636323815</v>
      </c>
      <c r="I6" s="3">
        <v>0.14969095356742496</v>
      </c>
      <c r="J6" s="3">
        <v>0.504426182800192</v>
      </c>
      <c r="K6" s="3">
        <f t="shared" si="1"/>
        <v>6902.1</v>
      </c>
      <c r="L6" s="3">
        <f t="shared" si="2"/>
        <v>4.891399985</v>
      </c>
      <c r="M6" s="3">
        <f t="shared" si="3"/>
        <v>4.684199982</v>
      </c>
      <c r="N6" s="3">
        <f t="shared" si="4"/>
        <v>0.2072000027</v>
      </c>
      <c r="O6" s="3">
        <f t="shared" si="5"/>
        <v>4.887199982</v>
      </c>
    </row>
    <row r="7">
      <c r="A7" s="3">
        <v>26.0</v>
      </c>
      <c r="B7" s="3">
        <v>1.0</v>
      </c>
      <c r="C7" s="3">
        <v>164187.0</v>
      </c>
      <c r="D7" s="3">
        <v>119.360000610351</v>
      </c>
      <c r="E7" s="3">
        <v>119.360000610351</v>
      </c>
      <c r="F7" s="3">
        <v>0.0</v>
      </c>
      <c r="G7" s="3">
        <v>119.290000457316</v>
      </c>
      <c r="H7" s="3">
        <v>0.117612540113614</v>
      </c>
      <c r="I7" s="3">
        <v>0.216028165883227</v>
      </c>
      <c r="J7" s="3">
        <v>0.666359294003158</v>
      </c>
      <c r="K7" s="3">
        <f t="shared" si="1"/>
        <v>6314.884615</v>
      </c>
      <c r="L7" s="3">
        <f t="shared" si="2"/>
        <v>4.590769254</v>
      </c>
      <c r="M7" s="3">
        <f t="shared" si="3"/>
        <v>4.590769254</v>
      </c>
      <c r="N7" s="3">
        <f t="shared" si="4"/>
        <v>0</v>
      </c>
      <c r="O7" s="3">
        <f t="shared" si="5"/>
        <v>4.588076941</v>
      </c>
    </row>
    <row r="8">
      <c r="A8" s="3">
        <v>27.0</v>
      </c>
      <c r="B8" s="3">
        <v>1.0</v>
      </c>
      <c r="C8" s="3">
        <v>197308.0</v>
      </c>
      <c r="D8" s="3">
        <v>149.580001592636</v>
      </c>
      <c r="E8" s="3">
        <v>149.580001592636</v>
      </c>
      <c r="F8" s="3">
        <v>0.0</v>
      </c>
      <c r="G8" s="3">
        <v>141.550000369548</v>
      </c>
      <c r="H8" s="3">
        <v>0.0253620626238179</v>
      </c>
      <c r="I8" s="3">
        <v>0.0166019075782878</v>
      </c>
      <c r="J8" s="3">
        <v>0.958036029797894</v>
      </c>
      <c r="K8" s="3">
        <f t="shared" si="1"/>
        <v>7307.703704</v>
      </c>
      <c r="L8" s="3">
        <f t="shared" si="2"/>
        <v>5.540000059</v>
      </c>
      <c r="M8" s="3">
        <f t="shared" si="3"/>
        <v>5.540000059</v>
      </c>
      <c r="N8" s="3">
        <f t="shared" si="4"/>
        <v>0</v>
      </c>
      <c r="O8" s="3">
        <f t="shared" si="5"/>
        <v>5.242592606</v>
      </c>
    </row>
    <row r="9">
      <c r="A9" s="3">
        <v>28.0</v>
      </c>
      <c r="B9" s="3">
        <v>2.0</v>
      </c>
      <c r="C9" s="3">
        <v>109638.0</v>
      </c>
      <c r="D9" s="3">
        <v>76.66999977827061</v>
      </c>
      <c r="E9" s="3">
        <v>76.66999977827061</v>
      </c>
      <c r="F9" s="3">
        <v>0.0</v>
      </c>
      <c r="G9" s="3">
        <v>76.6399998366832</v>
      </c>
      <c r="H9" s="3">
        <v>0.02395958862010275</v>
      </c>
      <c r="I9" s="3">
        <v>0.03391035560341025</v>
      </c>
      <c r="J9" s="3">
        <v>0.9421300557764865</v>
      </c>
      <c r="K9" s="3">
        <f t="shared" si="1"/>
        <v>1957.821429</v>
      </c>
      <c r="L9" s="3">
        <f t="shared" si="2"/>
        <v>1.369107139</v>
      </c>
      <c r="M9" s="3">
        <f t="shared" si="3"/>
        <v>1.369107139</v>
      </c>
      <c r="N9" s="3">
        <f t="shared" si="4"/>
        <v>0</v>
      </c>
      <c r="O9" s="3">
        <f t="shared" si="5"/>
        <v>1.368571426</v>
      </c>
    </row>
    <row r="10">
      <c r="A10" s="3">
        <v>29.0</v>
      </c>
      <c r="B10" s="3">
        <v>3.0</v>
      </c>
      <c r="C10" s="3">
        <v>651973.0</v>
      </c>
      <c r="D10" s="3">
        <v>459.8499972820278</v>
      </c>
      <c r="E10" s="3">
        <v>459.8499972820278</v>
      </c>
      <c r="F10" s="3">
        <v>0.0</v>
      </c>
      <c r="G10" s="3">
        <v>458.88999872654557</v>
      </c>
      <c r="H10" s="3">
        <v>0.21532376183685</v>
      </c>
      <c r="I10" s="3">
        <v>0.106134739491309</v>
      </c>
      <c r="J10" s="3">
        <v>0.417892541097635</v>
      </c>
      <c r="K10" s="3">
        <f t="shared" si="1"/>
        <v>7493.942529</v>
      </c>
      <c r="L10" s="3">
        <f t="shared" si="2"/>
        <v>5.285632153</v>
      </c>
      <c r="M10" s="3">
        <f t="shared" si="3"/>
        <v>5.285632153</v>
      </c>
      <c r="N10" s="3">
        <f t="shared" si="4"/>
        <v>0</v>
      </c>
      <c r="O10" s="3">
        <f t="shared" si="5"/>
        <v>5.274597687</v>
      </c>
    </row>
    <row r="11">
      <c r="A11" s="3">
        <v>30.0</v>
      </c>
      <c r="B11" s="3">
        <v>20.0</v>
      </c>
      <c r="C11" s="3">
        <v>4717624.0</v>
      </c>
      <c r="D11" s="3">
        <v>3401.889994645483</v>
      </c>
      <c r="E11" s="3">
        <v>3401.84999468363</v>
      </c>
      <c r="F11" s="3">
        <v>0.0399999618530273</v>
      </c>
      <c r="G11" s="3">
        <v>3339.520000083365</v>
      </c>
      <c r="H11" s="3">
        <v>0.17060694432732498</v>
      </c>
      <c r="I11" s="3">
        <v>0.08285430484528744</v>
      </c>
      <c r="J11" s="3">
        <v>0.712581582070526</v>
      </c>
      <c r="K11" s="3">
        <f t="shared" si="1"/>
        <v>7862.706667</v>
      </c>
      <c r="L11" s="3">
        <f t="shared" si="2"/>
        <v>5.669816658</v>
      </c>
      <c r="M11" s="3">
        <f t="shared" si="3"/>
        <v>5.669749991</v>
      </c>
      <c r="N11" s="3">
        <f t="shared" si="4"/>
        <v>0.00006666660309</v>
      </c>
      <c r="O11" s="3">
        <f t="shared" si="5"/>
        <v>5.565866667</v>
      </c>
    </row>
  </sheetData>
  <drawing r:id="rId1"/>
</worksheet>
</file>